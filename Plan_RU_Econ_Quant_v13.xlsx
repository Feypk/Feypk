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แผนเรียน v13" sheetId="1" state="visible" r:id="rId1"/>
    <sheet name="GPAX" sheetId="2" state="visible" r:id="rId2"/>
    <sheet name="เทียบ ป.โท Top-U" sheetId="3" state="visible" r:id="rId3"/>
    <sheet name="Scale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Tahoma"/>
      <b val="1"/>
      <color rgb="00FFFFFF"/>
      <sz val="13"/>
    </font>
    <font>
      <name val="Tahoma"/>
      <i val="1"/>
      <sz val="9"/>
    </font>
    <font>
      <name val="Tahoma"/>
      <b val="1"/>
      <color rgb="00FFFFFF"/>
      <sz val="10"/>
    </font>
    <font>
      <name val="Tahoma"/>
      <b val="1"/>
      <sz val="10"/>
    </font>
    <font>
      <name val="Tahoma"/>
      <sz val="10"/>
    </font>
    <font>
      <name val="Tahoma"/>
      <b val="1"/>
      <color rgb="00FFFFFF"/>
      <sz val="20"/>
    </font>
    <font>
      <name val="Tahoma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F4B084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2E75B6"/>
      </patternFill>
    </fill>
    <fill>
      <patternFill patternType="solid">
        <fgColor rgb="00FFF9D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2" fontId="6" fillId="13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2" fontId="4" fillId="1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5" fillId="14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/>
    </xf>
    <xf numFmtId="1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7" fillId="13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2" borderId="1" pivotButton="0" quotePrefix="0" xfId="0"/>
    <xf numFmtId="0" fontId="5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C6E0B4"/>
        </patternFill>
      </fill>
    </dxf>
    <dxf>
      <fill>
        <patternFill patternType="solid">
          <fgColor rgb="00F4B084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40" customWidth="1" min="3" max="3"/>
    <col width="5" customWidth="1" min="4" max="4"/>
    <col width="8" customWidth="1" min="5" max="5"/>
    <col width="34" customWidth="1" min="6" max="6"/>
    <col width="22" customWidth="1" min="7" max="7"/>
    <col width="30" customWidth="1" min="8" max="8"/>
  </cols>
  <sheetData>
    <row r="1" ht="24" customHeight="1">
      <c r="A1" s="1" t="inlineStr">
        <is>
          <t>แผนการเรียน ป.ตรี เศรษฐศาสตร์ ม.รามคำแหง — Quant+Finance/IB (v13: 8 เทอม + 3 Summer)</t>
        </is>
      </c>
    </row>
    <row r="2" ht="34" customHeight="1">
      <c r="A2" s="2" t="inlineStr">
        <is>
          <t>v13: ย้าย RAM 9 ตัวลง 3 ภาคฤดูร้อน (อย่างละ 3) • RAM1111 คงไว้ปี1/เทอม1 • เพิ่มวิชาสนใจ: STA2016, FIN2202, STA3504, FIN3210 + แนะนำ STA4309 | ★=เพิ่มใหม่ v13 | ยาก/10: เขียว≤4 เหลือง5-6 ส้ม7-8 แดง9-10</t>
        </is>
      </c>
    </row>
    <row r="4">
      <c r="A4" s="3" t="inlineStr">
        <is>
          <t>✅</t>
        </is>
      </c>
      <c r="B4" s="3" t="inlineStr">
        <is>
          <t>รหัส</t>
        </is>
      </c>
      <c r="C4" s="4" t="inlineStr">
        <is>
          <t>ชื่อวิชา</t>
        </is>
      </c>
      <c r="D4" s="3" t="inlineStr">
        <is>
          <t>นก.</t>
        </is>
      </c>
      <c r="E4" s="3" t="inlineStr">
        <is>
          <t>ยาก/10</t>
        </is>
      </c>
      <c r="F4" s="4" t="inlineStr">
        <is>
          <t>หมวด / เหตุผล</t>
        </is>
      </c>
      <c r="G4" s="4" t="inlineStr">
        <is>
          <t>บุพวิชา</t>
        </is>
      </c>
      <c r="H4" s="4" t="inlineStr">
        <is>
          <t>สถานะ / หมายเหตุ</t>
        </is>
      </c>
    </row>
    <row r="5">
      <c r="A5" s="5" t="inlineStr">
        <is>
          <t>ปีที่ 1 / เทอม 1   (18 นก. • ยากเฉลี่ย 3.3/10)</t>
        </is>
      </c>
      <c r="B5" s="6" t="n"/>
      <c r="C5" s="6" t="n"/>
      <c r="D5" s="6" t="n"/>
      <c r="E5" s="6" t="n"/>
      <c r="F5" s="6" t="n"/>
      <c r="G5" s="6" t="n"/>
      <c r="H5" s="7" t="inlineStr">
        <is>
          <t>18 นก.</t>
        </is>
      </c>
    </row>
    <row r="6">
      <c r="A6" s="8" t="inlineStr"/>
      <c r="B6" s="8" t="inlineStr">
        <is>
          <t>ECO1121</t>
        </is>
      </c>
      <c r="C6" s="9" t="inlineStr">
        <is>
          <t>หลักเศรษฐศาสตร์จุลภาค</t>
        </is>
      </c>
      <c r="D6" s="8" t="n">
        <v>3</v>
      </c>
      <c r="E6" s="10" t="n">
        <v>3</v>
      </c>
      <c r="F6" s="9" t="inlineStr">
        <is>
          <t>แกน econ</t>
        </is>
      </c>
      <c r="G6" s="9" t="inlineStr">
        <is>
          <t>-</t>
        </is>
      </c>
      <c r="H6" s="9" t="inlineStr">
        <is>
          <t>✓</t>
        </is>
      </c>
    </row>
    <row r="7">
      <c r="A7" s="8" t="inlineStr"/>
      <c r="B7" s="8" t="inlineStr">
        <is>
          <t>ECO1123</t>
        </is>
      </c>
      <c r="C7" s="9" t="inlineStr">
        <is>
          <t>คณิต–สถิติเบื้องต้นสำหรับ ศ.</t>
        </is>
      </c>
      <c r="D7" s="8" t="n">
        <v>3</v>
      </c>
      <c r="E7" s="10" t="n">
        <v>4</v>
      </c>
      <c r="F7" s="9" t="inlineStr">
        <is>
          <t>แกน</t>
        </is>
      </c>
      <c r="G7" s="9" t="inlineStr">
        <is>
          <t>-</t>
        </is>
      </c>
      <c r="H7" s="9" t="inlineStr">
        <is>
          <t>✓</t>
        </is>
      </c>
    </row>
    <row r="8">
      <c r="A8" s="8" t="inlineStr"/>
      <c r="B8" s="8" t="inlineStr">
        <is>
          <t>ACC1103</t>
        </is>
      </c>
      <c r="C8" s="9" t="inlineStr">
        <is>
          <t>การบัญชีการเงิน</t>
        </is>
      </c>
      <c r="D8" s="8" t="n">
        <v>3</v>
      </c>
      <c r="E8" s="10" t="n">
        <v>4</v>
      </c>
      <c r="F8" s="9" t="inlineStr">
        <is>
          <t>แกน econ</t>
        </is>
      </c>
      <c r="G8" s="9" t="inlineStr">
        <is>
          <t>-</t>
        </is>
      </c>
      <c r="H8" s="9" t="inlineStr">
        <is>
          <t>✓</t>
        </is>
      </c>
    </row>
    <row r="9">
      <c r="A9" s="11" t="inlineStr"/>
      <c r="B9" s="11" t="inlineStr">
        <is>
          <t>MTH1101</t>
        </is>
      </c>
      <c r="C9" s="12" t="inlineStr">
        <is>
          <t>Calculus &amp; Analytic Geometry I</t>
        </is>
      </c>
      <c r="D9" s="11" t="n">
        <v>3</v>
      </c>
      <c r="E9" s="10" t="n">
        <v>4</v>
      </c>
      <c r="F9" s="12" t="inlineStr">
        <is>
          <t>เลือกเสรี</t>
        </is>
      </c>
      <c r="G9" s="12" t="inlineStr">
        <is>
          <t>-</t>
        </is>
      </c>
      <c r="H9" s="12" t="inlineStr">
        <is>
          <t>✓</t>
        </is>
      </c>
    </row>
    <row r="10">
      <c r="A10" s="13" t="inlineStr"/>
      <c r="B10" s="13" t="inlineStr">
        <is>
          <t>RAM1111</t>
        </is>
      </c>
      <c r="C10" s="14" t="inlineStr">
        <is>
          <t>English in Daily Life</t>
        </is>
      </c>
      <c r="D10" s="13" t="n">
        <v>3</v>
      </c>
      <c r="E10" s="10" t="n">
        <v>2</v>
      </c>
      <c r="F10" s="14" t="inlineStr">
        <is>
          <t>ศึกษาทั่วไป 1.1 (อังกฤษ บังคับ)</t>
        </is>
      </c>
      <c r="G10" s="14" t="inlineStr">
        <is>
          <t>-</t>
        </is>
      </c>
      <c r="H10" s="14" t="inlineStr">
        <is>
          <t>✓ (RAM ตัวที่คงไว้)</t>
        </is>
      </c>
    </row>
    <row r="11">
      <c r="A11" s="11" t="inlineStr"/>
      <c r="B11" s="11" t="inlineStr">
        <is>
          <t>COS1101</t>
        </is>
      </c>
      <c r="C11" s="12" t="inlineStr">
        <is>
          <t>Introduction to Computer Science</t>
        </is>
      </c>
      <c r="D11" s="11" t="n">
        <v>3</v>
      </c>
      <c r="E11" s="10" t="n">
        <v>3</v>
      </c>
      <c r="F11" s="12" t="inlineStr">
        <is>
          <t>เก็บเพิ่ม • พื้นฐาน CS</t>
        </is>
      </c>
      <c r="G11" s="12" t="inlineStr">
        <is>
          <t>-</t>
        </is>
      </c>
      <c r="H11" s="12" t="inlineStr">
        <is>
          <t>✓</t>
        </is>
      </c>
    </row>
    <row r="12">
      <c r="A12" s="5" t="inlineStr">
        <is>
          <t>ปีที่ 1 / เทอม 2   (18 นก. • ยากเฉลี่ย 4.8/10)</t>
        </is>
      </c>
      <c r="B12" s="6" t="n"/>
      <c r="C12" s="6" t="n"/>
      <c r="D12" s="6" t="n"/>
      <c r="E12" s="6" t="n"/>
      <c r="F12" s="6" t="n"/>
      <c r="G12" s="6" t="n"/>
      <c r="H12" s="7" t="inlineStr">
        <is>
          <t>18 นก.</t>
        </is>
      </c>
    </row>
    <row r="13">
      <c r="A13" s="8" t="inlineStr"/>
      <c r="B13" s="8" t="inlineStr">
        <is>
          <t>ECO1122</t>
        </is>
      </c>
      <c r="C13" s="9" t="inlineStr">
        <is>
          <t>หลักเศรษฐศาสตร์มหภาค</t>
        </is>
      </c>
      <c r="D13" s="8" t="n">
        <v>3</v>
      </c>
      <c r="E13" s="10" t="n">
        <v>3</v>
      </c>
      <c r="F13" s="9" t="inlineStr">
        <is>
          <t>แกน econ</t>
        </is>
      </c>
      <c r="G13" s="9" t="inlineStr">
        <is>
          <t>ECO1123</t>
        </is>
      </c>
      <c r="H13" s="9" t="inlineStr">
        <is>
          <t>✓</t>
        </is>
      </c>
    </row>
    <row r="14">
      <c r="A14" s="11" t="inlineStr"/>
      <c r="B14" s="11" t="inlineStr">
        <is>
          <t>MTH1102</t>
        </is>
      </c>
      <c r="C14" s="12" t="inlineStr">
        <is>
          <t>Calculus &amp; Analytic Geometry II</t>
        </is>
      </c>
      <c r="D14" s="11" t="n">
        <v>3</v>
      </c>
      <c r="E14" s="15" t="n">
        <v>5</v>
      </c>
      <c r="F14" s="12" t="inlineStr">
        <is>
          <t>เลือกเสรี</t>
        </is>
      </c>
      <c r="G14" s="12" t="inlineStr">
        <is>
          <t>MTH1101</t>
        </is>
      </c>
      <c r="H14" s="12" t="inlineStr">
        <is>
          <t>✓</t>
        </is>
      </c>
    </row>
    <row r="15">
      <c r="A15" s="11" t="inlineStr"/>
      <c r="B15" s="11" t="inlineStr">
        <is>
          <t>MTH2001</t>
        </is>
      </c>
      <c r="C15" s="12" t="inlineStr">
        <is>
          <t>Fundamental Concepts in Math 1</t>
        </is>
      </c>
      <c r="D15" s="11" t="n">
        <v>3</v>
      </c>
      <c r="E15" s="16" t="n">
        <v>7</v>
      </c>
      <c r="F15" s="12" t="inlineStr">
        <is>
          <t>★ พิสูจน์</t>
        </is>
      </c>
      <c r="G15" s="12" t="inlineStr">
        <is>
          <t>-</t>
        </is>
      </c>
      <c r="H15" s="12" t="inlineStr">
        <is>
          <t>✓</t>
        </is>
      </c>
    </row>
    <row r="16">
      <c r="A16" s="11" t="inlineStr"/>
      <c r="B16" s="11" t="inlineStr">
        <is>
          <t>MTH2206</t>
        </is>
      </c>
      <c r="C16" s="12" t="inlineStr">
        <is>
          <t>Matrix Theory &amp; Linear Algebra 1</t>
        </is>
      </c>
      <c r="D16" s="11" t="n">
        <v>3</v>
      </c>
      <c r="E16" s="15" t="n">
        <v>5</v>
      </c>
      <c r="F16" s="12" t="inlineStr">
        <is>
          <t>โทคณิต</t>
        </is>
      </c>
      <c r="G16" s="12" t="inlineStr">
        <is>
          <t>MTH1101</t>
        </is>
      </c>
      <c r="H16" s="12" t="inlineStr">
        <is>
          <t>✓</t>
        </is>
      </c>
    </row>
    <row r="17">
      <c r="A17" s="11" t="inlineStr"/>
      <c r="B17" s="11" t="inlineStr">
        <is>
          <t>COS1103</t>
        </is>
      </c>
      <c r="C17" s="12" t="inlineStr">
        <is>
          <t>Algorithms and Programming</t>
        </is>
      </c>
      <c r="D17" s="11" t="n">
        <v>3</v>
      </c>
      <c r="E17" s="15" t="n">
        <v>5</v>
      </c>
      <c r="F17" s="12" t="inlineStr">
        <is>
          <t>เก็บเพิ่ม • coding</t>
        </is>
      </c>
      <c r="G17" s="12" t="inlineStr">
        <is>
          <t>COS1101</t>
        </is>
      </c>
      <c r="H17" s="12" t="inlineStr">
        <is>
          <t>✓ (CR COS1101)</t>
        </is>
      </c>
    </row>
    <row r="18">
      <c r="A18" s="11" t="inlineStr"/>
      <c r="B18" s="11" t="inlineStr">
        <is>
          <t>STA2016</t>
        </is>
      </c>
      <c r="C18" s="12" t="inlineStr">
        <is>
          <t>Business Statistics &amp; Quant Analysis</t>
        </is>
      </c>
      <c r="D18" s="11" t="n">
        <v>3</v>
      </c>
      <c r="E18" s="10" t="n">
        <v>4</v>
      </c>
      <c r="F18" s="12" t="inlineStr">
        <is>
          <t>★ เพิ่ม v13 • สถิติธุรกิจ</t>
        </is>
      </c>
      <c r="G18" s="12" t="inlineStr">
        <is>
          <t>(เช็กภาควิชา)</t>
        </is>
      </c>
      <c r="H18" s="12" t="inlineStr">
        <is>
          <t>✓ intro</t>
        </is>
      </c>
    </row>
    <row r="19">
      <c r="A19" s="17" t="inlineStr">
        <is>
          <t>☀ ภาคฤดูร้อน ปี 1   (9 นก. • ยากเฉลี่ย 2.0/10)</t>
        </is>
      </c>
      <c r="B19" s="18" t="n"/>
      <c r="C19" s="18" t="n"/>
      <c r="D19" s="18" t="n"/>
      <c r="E19" s="18" t="n"/>
      <c r="F19" s="18" t="n"/>
      <c r="G19" s="18" t="n"/>
      <c r="H19" s="19" t="inlineStr">
        <is>
          <t>9 นก.</t>
        </is>
      </c>
    </row>
    <row r="20">
      <c r="A20" s="13" t="inlineStr"/>
      <c r="B20" s="13" t="inlineStr">
        <is>
          <t>RAM1103</t>
        </is>
      </c>
      <c r="C20" s="14" t="inlineStr">
        <is>
          <t>Thai for Communication at Work</t>
        </is>
      </c>
      <c r="D20" s="13" t="n">
        <v>3</v>
      </c>
      <c r="E20" s="10" t="n">
        <v>2</v>
      </c>
      <c r="F20" s="14" t="inlineStr">
        <is>
          <t>ศึกษาทั่วไป 1.1 (ไทย)</t>
        </is>
      </c>
      <c r="G20" s="14" t="inlineStr">
        <is>
          <t>-</t>
        </is>
      </c>
      <c r="H20" s="14" t="inlineStr">
        <is>
          <t>✓</t>
        </is>
      </c>
    </row>
    <row r="21">
      <c r="A21" s="13" t="inlineStr"/>
      <c r="B21" s="13" t="inlineStr">
        <is>
          <t>RAM1131</t>
        </is>
      </c>
      <c r="C21" s="14" t="inlineStr">
        <is>
          <t>Digital Literacy</t>
        </is>
      </c>
      <c r="D21" s="13" t="n">
        <v>3</v>
      </c>
      <c r="E21" s="10" t="n">
        <v>2</v>
      </c>
      <c r="F21" s="14" t="inlineStr">
        <is>
          <t>ศึกษาทั่วไป 1.1 (เทคโนโลยี)</t>
        </is>
      </c>
      <c r="G21" s="14" t="inlineStr">
        <is>
          <t>-</t>
        </is>
      </c>
      <c r="H21" s="14" t="inlineStr">
        <is>
          <t>✓</t>
        </is>
      </c>
    </row>
    <row r="22">
      <c r="A22" s="13" t="inlineStr"/>
      <c r="B22" s="13" t="inlineStr">
        <is>
          <t>RAM1301</t>
        </is>
      </c>
      <c r="C22" s="14" t="inlineStr">
        <is>
          <t>คุณธรรมคู่ความรู้</t>
        </is>
      </c>
      <c r="D22" s="13" t="n">
        <v>3</v>
      </c>
      <c r="E22" s="10" t="n">
        <v>2</v>
      </c>
      <c r="F22" s="14" t="inlineStr">
        <is>
          <t>ศึกษาทั่วไป 1.3 (พลเมือง บังคับ)</t>
        </is>
      </c>
      <c r="G22" s="14" t="inlineStr">
        <is>
          <t>-</t>
        </is>
      </c>
      <c r="H22" s="14" t="inlineStr">
        <is>
          <t>✓</t>
        </is>
      </c>
    </row>
    <row r="23">
      <c r="A23" s="5" t="inlineStr">
        <is>
          <t>ปีที่ 2 / เทอม 1   (21 นก. • ยากเฉลี่ย 5.6/10)</t>
        </is>
      </c>
      <c r="B23" s="6" t="n"/>
      <c r="C23" s="6" t="n"/>
      <c r="D23" s="6" t="n"/>
      <c r="E23" s="6" t="n"/>
      <c r="F23" s="6" t="n"/>
      <c r="G23" s="6" t="n"/>
      <c r="H23" s="7" t="inlineStr">
        <is>
          <t>21 นก.</t>
        </is>
      </c>
    </row>
    <row r="24">
      <c r="A24" s="8" t="inlineStr"/>
      <c r="B24" s="8" t="inlineStr">
        <is>
          <t>ECO2121</t>
        </is>
      </c>
      <c r="C24" s="9" t="inlineStr">
        <is>
          <t>ทฤษฎีจุลภาค 1</t>
        </is>
      </c>
      <c r="D24" s="8" t="n">
        <v>3</v>
      </c>
      <c r="E24" s="15" t="n">
        <v>6</v>
      </c>
      <c r="F24" s="9" t="inlineStr">
        <is>
          <t>แกน econ</t>
        </is>
      </c>
      <c r="G24" s="9" t="inlineStr">
        <is>
          <t>ECO1121,1123</t>
        </is>
      </c>
      <c r="H24" s="9" t="inlineStr">
        <is>
          <t>✓</t>
        </is>
      </c>
    </row>
    <row r="25">
      <c r="A25" s="8" t="inlineStr"/>
      <c r="B25" s="8" t="inlineStr">
        <is>
          <t>ECO2122</t>
        </is>
      </c>
      <c r="C25" s="9" t="inlineStr">
        <is>
          <t>ทฤษฎีมหภาค 1</t>
        </is>
      </c>
      <c r="D25" s="8" t="n">
        <v>3</v>
      </c>
      <c r="E25" s="15" t="n">
        <v>6</v>
      </c>
      <c r="F25" s="9" t="inlineStr">
        <is>
          <t>แกน econ</t>
        </is>
      </c>
      <c r="G25" s="9" t="inlineStr">
        <is>
          <t>ECO1122,1123</t>
        </is>
      </c>
      <c r="H25" s="9" t="inlineStr">
        <is>
          <t>✓</t>
        </is>
      </c>
    </row>
    <row r="26">
      <c r="A26" s="8" t="inlineStr"/>
      <c r="B26" s="8" t="inlineStr">
        <is>
          <t>ECO2125</t>
        </is>
      </c>
      <c r="C26" s="9" t="inlineStr">
        <is>
          <t>คณิตศาสตร์สำหรับเศรษฐศาสตร์</t>
        </is>
      </c>
      <c r="D26" s="8" t="n">
        <v>3</v>
      </c>
      <c r="E26" s="15" t="n">
        <v>6</v>
      </c>
      <c r="F26" s="9" t="inlineStr">
        <is>
          <t>แกน • สัญญาณ</t>
        </is>
      </c>
      <c r="G26" s="9" t="inlineStr">
        <is>
          <t>ECO1123</t>
        </is>
      </c>
      <c r="H26" s="9" t="inlineStr">
        <is>
          <t>✓</t>
        </is>
      </c>
    </row>
    <row r="27">
      <c r="A27" s="8" t="inlineStr"/>
      <c r="B27" s="8" t="inlineStr">
        <is>
          <t>ECO2129</t>
        </is>
      </c>
      <c r="C27" s="9" t="inlineStr">
        <is>
          <t>เศรษฐกิจประเทศไทย</t>
        </is>
      </c>
      <c r="D27" s="8" t="n">
        <v>3</v>
      </c>
      <c r="E27" s="10" t="n">
        <v>3</v>
      </c>
      <c r="F27" s="9" t="inlineStr">
        <is>
          <t>แกน econ</t>
        </is>
      </c>
      <c r="G27" s="9" t="inlineStr">
        <is>
          <t>ECO1121,1122</t>
        </is>
      </c>
      <c r="H27" s="9" t="inlineStr">
        <is>
          <t>✓</t>
        </is>
      </c>
    </row>
    <row r="28">
      <c r="A28" s="11" t="inlineStr"/>
      <c r="B28" s="11" t="inlineStr">
        <is>
          <t>MTH2103</t>
        </is>
      </c>
      <c r="C28" s="12" t="inlineStr">
        <is>
          <t>Calculus &amp; Analytic Geometry III</t>
        </is>
      </c>
      <c r="D28" s="11" t="n">
        <v>3</v>
      </c>
      <c r="E28" s="15" t="n">
        <v>6</v>
      </c>
      <c r="F28" s="12" t="inlineStr">
        <is>
          <t>โทคณิต</t>
        </is>
      </c>
      <c r="G28" s="12" t="inlineStr">
        <is>
          <t>MTH1102</t>
        </is>
      </c>
      <c r="H28" s="12" t="inlineStr">
        <is>
          <t>✓</t>
        </is>
      </c>
    </row>
    <row r="29">
      <c r="A29" s="11" t="inlineStr"/>
      <c r="B29" s="11" t="inlineStr">
        <is>
          <t>STA3101</t>
        </is>
      </c>
      <c r="C29" s="12" t="inlineStr">
        <is>
          <t>Probability Theory 1</t>
        </is>
      </c>
      <c r="D29" s="11" t="n">
        <v>3</v>
      </c>
      <c r="E29" s="16" t="n">
        <v>7</v>
      </c>
      <c r="F29" s="12" t="inlineStr">
        <is>
          <t>★ ความน่าจะเป็น</t>
        </is>
      </c>
      <c r="G29" s="12" t="inlineStr">
        <is>
          <t>MTH1102</t>
        </is>
      </c>
      <c r="H29" s="12" t="inlineStr">
        <is>
          <t>✓</t>
        </is>
      </c>
    </row>
    <row r="30">
      <c r="A30" s="11" t="inlineStr"/>
      <c r="B30" s="11" t="inlineStr">
        <is>
          <t>STA2003</t>
        </is>
      </c>
      <c r="C30" s="12" t="inlineStr">
        <is>
          <t>Principles of Statistics</t>
        </is>
      </c>
      <c r="D30" s="11" t="n">
        <v>3</v>
      </c>
      <c r="E30" s="15" t="n">
        <v>5</v>
      </c>
      <c r="F30" s="12" t="inlineStr">
        <is>
          <t>บุพวิชาของ ECO2126 &amp; MTH3611</t>
        </is>
      </c>
      <c r="G30" s="12" t="inlineStr">
        <is>
          <t>-</t>
        </is>
      </c>
      <c r="H30" s="12" t="inlineStr">
        <is>
          <t>✓</t>
        </is>
      </c>
    </row>
    <row r="31">
      <c r="A31" s="5" t="inlineStr">
        <is>
          <t>ปีที่ 2 / เทอม 2   (21 นก. • ยากเฉลี่ย 6.4/10)</t>
        </is>
      </c>
      <c r="B31" s="6" t="n"/>
      <c r="C31" s="6" t="n"/>
      <c r="D31" s="6" t="n"/>
      <c r="E31" s="6" t="n"/>
      <c r="F31" s="6" t="n"/>
      <c r="G31" s="6" t="n"/>
      <c r="H31" s="7" t="inlineStr">
        <is>
          <t>21 นก.</t>
        </is>
      </c>
    </row>
    <row r="32">
      <c r="A32" s="8" t="inlineStr"/>
      <c r="B32" s="8" t="inlineStr">
        <is>
          <t>ECO2123</t>
        </is>
      </c>
      <c r="C32" s="9" t="inlineStr">
        <is>
          <t>ทฤษฎีจุลภาค 2</t>
        </is>
      </c>
      <c r="D32" s="8" t="n">
        <v>3</v>
      </c>
      <c r="E32" s="16" t="n">
        <v>7</v>
      </c>
      <c r="F32" s="9" t="inlineStr">
        <is>
          <t>แกน econ</t>
        </is>
      </c>
      <c r="G32" s="9" t="inlineStr">
        <is>
          <t>ECO2121</t>
        </is>
      </c>
      <c r="H32" s="9" t="inlineStr">
        <is>
          <t>✓</t>
        </is>
      </c>
    </row>
    <row r="33">
      <c r="A33" s="8" t="inlineStr"/>
      <c r="B33" s="8" t="inlineStr">
        <is>
          <t>ECO2124</t>
        </is>
      </c>
      <c r="C33" s="9" t="inlineStr">
        <is>
          <t>ทฤษฎีมหภาค 2</t>
        </is>
      </c>
      <c r="D33" s="8" t="n">
        <v>3</v>
      </c>
      <c r="E33" s="16" t="n">
        <v>7</v>
      </c>
      <c r="F33" s="9" t="inlineStr">
        <is>
          <t>แกน econ</t>
        </is>
      </c>
      <c r="G33" s="9" t="inlineStr">
        <is>
          <t>ECO2122</t>
        </is>
      </c>
      <c r="H33" s="9" t="inlineStr">
        <is>
          <t>✓</t>
        </is>
      </c>
    </row>
    <row r="34">
      <c r="A34" s="8" t="inlineStr"/>
      <c r="B34" s="8" t="inlineStr">
        <is>
          <t>ECO2126</t>
        </is>
      </c>
      <c r="C34" s="9" t="inlineStr">
        <is>
          <t>สถิติสำหรับเศรษฐศาสตร์</t>
        </is>
      </c>
      <c r="D34" s="8" t="n">
        <v>3</v>
      </c>
      <c r="E34" s="15" t="n">
        <v>6</v>
      </c>
      <c r="F34" s="9" t="inlineStr">
        <is>
          <t>แกน • สัญญาณ</t>
        </is>
      </c>
      <c r="G34" s="9" t="inlineStr">
        <is>
          <t>STA2003</t>
        </is>
      </c>
      <c r="H34" s="9" t="inlineStr">
        <is>
          <t>✓</t>
        </is>
      </c>
    </row>
    <row r="35">
      <c r="A35" s="11" t="inlineStr"/>
      <c r="B35" s="11" t="inlineStr">
        <is>
          <t>MTH2104</t>
        </is>
      </c>
      <c r="C35" s="12" t="inlineStr">
        <is>
          <t>Advanced Calculus 1</t>
        </is>
      </c>
      <c r="D35" s="11" t="n">
        <v>3</v>
      </c>
      <c r="E35" s="16" t="n">
        <v>8</v>
      </c>
      <c r="F35" s="12" t="inlineStr">
        <is>
          <t>โทคณิต</t>
        </is>
      </c>
      <c r="G35" s="12" t="inlineStr">
        <is>
          <t>MTH2103</t>
        </is>
      </c>
      <c r="H35" s="12" t="inlineStr">
        <is>
          <t>✓</t>
        </is>
      </c>
    </row>
    <row r="36">
      <c r="A36" s="11" t="inlineStr"/>
      <c r="B36" s="11" t="inlineStr">
        <is>
          <t>MTH3204</t>
        </is>
      </c>
      <c r="C36" s="12" t="inlineStr">
        <is>
          <t>Matrix Theory &amp; Linear Algebra 2</t>
        </is>
      </c>
      <c r="D36" s="11" t="n">
        <v>3</v>
      </c>
      <c r="E36" s="16" t="n">
        <v>7</v>
      </c>
      <c r="F36" s="12" t="inlineStr">
        <is>
          <t>โทคณิต</t>
        </is>
      </c>
      <c r="G36" s="12" t="inlineStr">
        <is>
          <t>MTH2206</t>
        </is>
      </c>
      <c r="H36" s="12" t="inlineStr">
        <is>
          <t>✓</t>
        </is>
      </c>
    </row>
    <row r="37">
      <c r="A37" s="20" t="inlineStr"/>
      <c r="B37" s="20" t="inlineStr">
        <is>
          <t>ACC2202</t>
        </is>
      </c>
      <c r="C37" s="21" t="inlineStr">
        <is>
          <t>Intermediate Accounting</t>
        </is>
      </c>
      <c r="D37" s="20" t="n">
        <v>3</v>
      </c>
      <c r="E37" s="15" t="n">
        <v>6</v>
      </c>
      <c r="F37" s="21" t="inlineStr">
        <is>
          <t>บัญชีเชิงลึก</t>
        </is>
      </c>
      <c r="G37" s="21" t="inlineStr">
        <is>
          <t>ACC1103</t>
        </is>
      </c>
      <c r="H37" s="21" t="inlineStr">
        <is>
          <t>⚠️ เช็ก</t>
        </is>
      </c>
    </row>
    <row r="38">
      <c r="A38" s="20" t="inlineStr"/>
      <c r="B38" s="20" t="inlineStr">
        <is>
          <t>FIN2202</t>
        </is>
      </c>
      <c r="C38" s="21" t="inlineStr">
        <is>
          <t>Financial Institutions &amp; Markets</t>
        </is>
      </c>
      <c r="D38" s="20" t="n">
        <v>3</v>
      </c>
      <c r="E38" s="10" t="n">
        <v>4</v>
      </c>
      <c r="F38" s="21" t="inlineStr">
        <is>
          <t>★ เพิ่ม v13 • สถาบัน/ตลาดการเงิน</t>
        </is>
      </c>
      <c r="G38" s="21" t="inlineStr">
        <is>
          <t>(เช็ก PR)</t>
        </is>
      </c>
      <c r="H38" s="21" t="inlineStr">
        <is>
          <t>⚠️ ข้ามคณะ</t>
        </is>
      </c>
    </row>
    <row r="39">
      <c r="A39" s="17" t="inlineStr">
        <is>
          <t>☀ ภาคฤดูร้อน ปี 2   (9 นก. • ยากเฉลี่ย 2.3/10)</t>
        </is>
      </c>
      <c r="B39" s="18" t="n"/>
      <c r="C39" s="18" t="n"/>
      <c r="D39" s="18" t="n"/>
      <c r="E39" s="18" t="n"/>
      <c r="F39" s="18" t="n"/>
      <c r="G39" s="18" t="n"/>
      <c r="H39" s="19" t="inlineStr">
        <is>
          <t>9 นก.</t>
        </is>
      </c>
    </row>
    <row r="40">
      <c r="A40" s="13" t="inlineStr"/>
      <c r="B40" s="13" t="inlineStr">
        <is>
          <t>RAM1141</t>
        </is>
      </c>
      <c r="C40" s="14" t="inlineStr">
        <is>
          <t>ศาสตร์แห่งบุคลิกภาพ</t>
        </is>
      </c>
      <c r="D40" s="13" t="n">
        <v>3</v>
      </c>
      <c r="E40" s="10" t="n">
        <v>2</v>
      </c>
      <c r="F40" s="14" t="inlineStr">
        <is>
          <t>ศึกษาทั่วไป 1.1 (ปรับตัว)</t>
        </is>
      </c>
      <c r="G40" s="14" t="inlineStr">
        <is>
          <t>-</t>
        </is>
      </c>
      <c r="H40" s="14" t="inlineStr">
        <is>
          <t>✓</t>
        </is>
      </c>
    </row>
    <row r="41">
      <c r="A41" s="13" t="inlineStr"/>
      <c r="B41" s="13" t="inlineStr">
        <is>
          <t>RAM1204</t>
        </is>
      </c>
      <c r="C41" s="14" t="inlineStr">
        <is>
          <t>Mathematics &amp; Statistics for Daily Life</t>
        </is>
      </c>
      <c r="D41" s="13" t="n">
        <v>3</v>
      </c>
      <c r="E41" s="10" t="n">
        <v>3</v>
      </c>
      <c r="F41" s="14" t="inlineStr">
        <is>
          <t>ศึกษาทั่วไป 1.2 (ทักษะคิด)</t>
        </is>
      </c>
      <c r="G41" s="14" t="inlineStr">
        <is>
          <t>-</t>
        </is>
      </c>
      <c r="H41" s="14" t="inlineStr">
        <is>
          <t>✓</t>
        </is>
      </c>
    </row>
    <row r="42">
      <c r="A42" s="13" t="inlineStr"/>
      <c r="B42" s="13" t="inlineStr">
        <is>
          <t>RAM1302</t>
        </is>
      </c>
      <c r="C42" s="14" t="inlineStr">
        <is>
          <t>Politics and Law in Daily Life</t>
        </is>
      </c>
      <c r="D42" s="13" t="n">
        <v>3</v>
      </c>
      <c r="E42" s="10" t="n">
        <v>2</v>
      </c>
      <c r="F42" s="14" t="inlineStr">
        <is>
          <t>ศึกษาทั่วไป 1.3 (พลเมือง เลือก)</t>
        </is>
      </c>
      <c r="G42" s="14" t="inlineStr">
        <is>
          <t>-</t>
        </is>
      </c>
      <c r="H42" s="14" t="inlineStr">
        <is>
          <t>✓</t>
        </is>
      </c>
    </row>
    <row r="43">
      <c r="A43" s="5" t="inlineStr">
        <is>
          <t>ปีที่ 3 / เทอม 1   (21 นก. • ยากเฉลี่ย 6.0/10)</t>
        </is>
      </c>
      <c r="B43" s="6" t="n"/>
      <c r="C43" s="6" t="n"/>
      <c r="D43" s="6" t="n"/>
      <c r="E43" s="6" t="n"/>
      <c r="F43" s="6" t="n"/>
      <c r="G43" s="6" t="n"/>
      <c r="H43" s="7" t="inlineStr">
        <is>
          <t>21 นก.</t>
        </is>
      </c>
    </row>
    <row r="44">
      <c r="A44" s="8" t="inlineStr"/>
      <c r="B44" s="8" t="inlineStr">
        <is>
          <t>ECO3121</t>
        </is>
      </c>
      <c r="C44" s="9" t="inlineStr">
        <is>
          <t>เศรษฐศาสตร์จุลภาคระดับสูง</t>
        </is>
      </c>
      <c r="D44" s="8" t="n">
        <v>3</v>
      </c>
      <c r="E44" s="16" t="n">
        <v>8</v>
      </c>
      <c r="F44" s="9" t="inlineStr">
        <is>
          <t>เชี่ยวชาญ</t>
        </is>
      </c>
      <c r="G44" s="9" t="inlineStr">
        <is>
          <t>ECO2123,2125</t>
        </is>
      </c>
      <c r="H44" s="9" t="inlineStr">
        <is>
          <t>✓</t>
        </is>
      </c>
    </row>
    <row r="45">
      <c r="A45" s="8" t="inlineStr"/>
      <c r="B45" s="8" t="inlineStr">
        <is>
          <t>ECO3123</t>
        </is>
      </c>
      <c r="C45" s="9" t="inlineStr">
        <is>
          <t>เศรษฐมิติเบื้องต้น</t>
        </is>
      </c>
      <c r="D45" s="8" t="n">
        <v>3</v>
      </c>
      <c r="E45" s="16" t="n">
        <v>7</v>
      </c>
      <c r="F45" s="9" t="inlineStr">
        <is>
          <t>เชี่ยวชาญ • ดาวเด่น</t>
        </is>
      </c>
      <c r="G45" s="9" t="inlineStr">
        <is>
          <t>ECO2125,2126</t>
        </is>
      </c>
      <c r="H45" s="9" t="inlineStr">
        <is>
          <t>✓</t>
        </is>
      </c>
    </row>
    <row r="46">
      <c r="A46" s="20" t="inlineStr"/>
      <c r="B46" s="20" t="inlineStr">
        <is>
          <t>ECO3320</t>
        </is>
      </c>
      <c r="C46" s="21" t="inlineStr">
        <is>
          <t>เศรษฐศาสตร์การเงินและการธนาคาร</t>
        </is>
      </c>
      <c r="D46" s="20" t="n">
        <v>3</v>
      </c>
      <c r="E46" s="15" t="n">
        <v>5</v>
      </c>
      <c r="F46" s="21" t="inlineStr">
        <is>
          <t>เลือกกลุ่มอื่น–การเงิน</t>
        </is>
      </c>
      <c r="G46" s="21" t="inlineStr">
        <is>
          <t>ECO2124</t>
        </is>
      </c>
      <c r="H46" s="21" t="inlineStr">
        <is>
          <t>✓</t>
        </is>
      </c>
    </row>
    <row r="47">
      <c r="A47" s="11" t="inlineStr"/>
      <c r="B47" s="11" t="inlineStr">
        <is>
          <t>MTH2106</t>
        </is>
      </c>
      <c r="C47" s="12" t="inlineStr">
        <is>
          <t>Differential Equations</t>
        </is>
      </c>
      <c r="D47" s="11" t="n">
        <v>3</v>
      </c>
      <c r="E47" s="15" t="n">
        <v>6</v>
      </c>
      <c r="F47" s="12" t="inlineStr">
        <is>
          <t>โทคณิต</t>
        </is>
      </c>
      <c r="G47" s="12" t="inlineStr">
        <is>
          <t>MTH1102</t>
        </is>
      </c>
      <c r="H47" s="12" t="inlineStr">
        <is>
          <t>✓</t>
        </is>
      </c>
    </row>
    <row r="48">
      <c r="A48" s="11" t="inlineStr"/>
      <c r="B48" s="11" t="inlineStr">
        <is>
          <t>STA3102</t>
        </is>
      </c>
      <c r="C48" s="12" t="inlineStr">
        <is>
          <t>Probability Theory 2</t>
        </is>
      </c>
      <c r="D48" s="11" t="n">
        <v>3</v>
      </c>
      <c r="E48" s="16" t="n">
        <v>8</v>
      </c>
      <c r="F48" s="12" t="inlineStr">
        <is>
          <t>★ ปลดล็อก Theory of Stats</t>
        </is>
      </c>
      <c r="G48" s="12" t="inlineStr">
        <is>
          <t>STA3101+MTH2103</t>
        </is>
      </c>
      <c r="H48" s="12" t="inlineStr">
        <is>
          <t>✓</t>
        </is>
      </c>
    </row>
    <row r="49">
      <c r="A49" s="8" t="inlineStr"/>
      <c r="B49" s="8" t="inlineStr">
        <is>
          <t>ECO2130</t>
        </is>
      </c>
      <c r="C49" s="9" t="inlineStr">
        <is>
          <t>English for Economics</t>
        </is>
      </c>
      <c r="D49" s="8" t="n">
        <v>3</v>
      </c>
      <c r="E49" s="10" t="n">
        <v>3</v>
      </c>
      <c r="F49" s="9" t="inlineStr">
        <is>
          <t>แกน econ</t>
        </is>
      </c>
      <c r="G49" s="9" t="inlineStr">
        <is>
          <t>-</t>
        </is>
      </c>
      <c r="H49" s="9" t="inlineStr">
        <is>
          <t>✓</t>
        </is>
      </c>
    </row>
    <row r="50">
      <c r="A50" s="20" t="inlineStr"/>
      <c r="B50" s="20" t="inlineStr">
        <is>
          <t>FIN2101</t>
        </is>
      </c>
      <c r="C50" s="21" t="inlineStr">
        <is>
          <t>Business Finance</t>
        </is>
      </c>
      <c r="D50" s="20" t="n">
        <v>3</v>
      </c>
      <c r="E50" s="15" t="n">
        <v>5</v>
      </c>
      <c r="F50" s="21" t="inlineStr">
        <is>
          <t>เก็บเพิ่ม • บุพวิชา FIN3xxx</t>
        </is>
      </c>
      <c r="G50" s="21" t="inlineStr">
        <is>
          <t>ACC1103</t>
        </is>
      </c>
      <c r="H50" s="21" t="inlineStr">
        <is>
          <t>⚠️ เช็ก</t>
        </is>
      </c>
    </row>
    <row r="51">
      <c r="A51" s="5" t="inlineStr">
        <is>
          <t>ปีที่ 3 / เทอม 2   (21 นก. • ยากเฉลี่ย 6.3/10)</t>
        </is>
      </c>
      <c r="B51" s="6" t="n"/>
      <c r="C51" s="6" t="n"/>
      <c r="D51" s="6" t="n"/>
      <c r="E51" s="6" t="n"/>
      <c r="F51" s="6" t="n"/>
      <c r="G51" s="6" t="n"/>
      <c r="H51" s="7" t="inlineStr">
        <is>
          <t>21 นก.</t>
        </is>
      </c>
    </row>
    <row r="52">
      <c r="A52" s="8" t="inlineStr"/>
      <c r="B52" s="8" t="inlineStr">
        <is>
          <t>ECO3122</t>
        </is>
      </c>
      <c r="C52" s="9" t="inlineStr">
        <is>
          <t>เศรษฐศาสตร์มหภาคระดับสูง</t>
        </is>
      </c>
      <c r="D52" s="8" t="n">
        <v>3</v>
      </c>
      <c r="E52" s="16" t="n">
        <v>8</v>
      </c>
      <c r="F52" s="9" t="inlineStr">
        <is>
          <t>เชี่ยวชาญ</t>
        </is>
      </c>
      <c r="G52" s="9" t="inlineStr">
        <is>
          <t>ECO2124,2125</t>
        </is>
      </c>
      <c r="H52" s="9" t="inlineStr">
        <is>
          <t>✓</t>
        </is>
      </c>
    </row>
    <row r="53">
      <c r="A53" s="20" t="inlineStr"/>
      <c r="B53" s="20" t="inlineStr">
        <is>
          <t>ECO3323</t>
        </is>
      </c>
      <c r="C53" s="21" t="inlineStr">
        <is>
          <t>การบริหารความเสี่ยงองค์กร</t>
        </is>
      </c>
      <c r="D53" s="20" t="n">
        <v>3</v>
      </c>
      <c r="E53" s="15" t="n">
        <v>5</v>
      </c>
      <c r="F53" s="21" t="inlineStr">
        <is>
          <t>เลือกกลุ่มอื่น–การเงิน</t>
        </is>
      </c>
      <c r="G53" s="21" t="inlineStr">
        <is>
          <t>ECO2121</t>
        </is>
      </c>
      <c r="H53" s="21" t="inlineStr">
        <is>
          <t>✓</t>
        </is>
      </c>
    </row>
    <row r="54">
      <c r="A54" s="8" t="inlineStr"/>
      <c r="B54" s="8" t="inlineStr">
        <is>
          <t>ECO2128</t>
        </is>
      </c>
      <c r="C54" s="9" t="inlineStr">
        <is>
          <t>ระเบียบวิธีวิจัยทางเศรษฐศาสตร์</t>
        </is>
      </c>
      <c r="D54" s="8" t="n">
        <v>3</v>
      </c>
      <c r="E54" s="15" t="n">
        <v>5</v>
      </c>
      <c r="F54" s="9" t="inlineStr">
        <is>
          <t>แกน • research paper</t>
        </is>
      </c>
      <c r="G54" s="9" t="inlineStr">
        <is>
          <t>ECO2123-2126</t>
        </is>
      </c>
      <c r="H54" s="9" t="inlineStr">
        <is>
          <t>✓</t>
        </is>
      </c>
    </row>
    <row r="55">
      <c r="A55" s="11" t="inlineStr"/>
      <c r="B55" s="11" t="inlineStr">
        <is>
          <t>MTH4404</t>
        </is>
      </c>
      <c r="C55" s="12" t="inlineStr">
        <is>
          <t>Introduction to Real Analysis 1</t>
        </is>
      </c>
      <c r="D55" s="11" t="n">
        <v>3</v>
      </c>
      <c r="E55" s="22" t="n">
        <v>9</v>
      </c>
      <c r="F55" s="12" t="inlineStr">
        <is>
          <t>เก็บเพิ่ม • สัญญาณ #1</t>
        </is>
      </c>
      <c r="G55" s="12" t="inlineStr">
        <is>
          <t>MTH2104</t>
        </is>
      </c>
      <c r="H55" s="12" t="inlineStr">
        <is>
          <t>✓</t>
        </is>
      </c>
    </row>
    <row r="56">
      <c r="A56" s="20" t="inlineStr"/>
      <c r="B56" s="20" t="inlineStr">
        <is>
          <t>ACC4209</t>
        </is>
      </c>
      <c r="C56" s="21" t="inlineStr">
        <is>
          <t>Financial Reporting &amp; Analysis</t>
        </is>
      </c>
      <c r="D56" s="20" t="n">
        <v>3</v>
      </c>
      <c r="E56" s="15" t="n">
        <v>6</v>
      </c>
      <c r="F56" s="21" t="inlineStr">
        <is>
          <t>วิเคราะห์งบ (core IB)</t>
        </is>
      </c>
      <c r="G56" s="21" t="inlineStr">
        <is>
          <t>ACC2202</t>
        </is>
      </c>
      <c r="H56" s="21" t="inlineStr">
        <is>
          <t>✓</t>
        </is>
      </c>
    </row>
    <row r="57">
      <c r="A57" s="11" t="inlineStr"/>
      <c r="B57" s="11" t="inlineStr">
        <is>
          <t>SDM2102</t>
        </is>
      </c>
      <c r="C57" s="12" t="inlineStr">
        <is>
          <t>Foundations of Python Programming</t>
        </is>
      </c>
      <c r="D57" s="11" t="n">
        <v>3</v>
      </c>
      <c r="E57" s="10" t="n">
        <v>4</v>
      </c>
      <c r="F57" s="12" t="inlineStr">
        <is>
          <t>เก็บเพิ่ม • Python</t>
        </is>
      </c>
      <c r="G57" s="12" t="inlineStr">
        <is>
          <t>-</t>
        </is>
      </c>
      <c r="H57" s="12" t="inlineStr">
        <is>
          <t>✓</t>
        </is>
      </c>
    </row>
    <row r="58">
      <c r="A58" s="11" t="inlineStr"/>
      <c r="B58" s="11" t="inlineStr">
        <is>
          <t>STA3504</t>
        </is>
      </c>
      <c r="C58" s="12" t="inlineStr">
        <is>
          <t>Math Models for Investment Decision</t>
        </is>
      </c>
      <c r="D58" s="11" t="n">
        <v>3</v>
      </c>
      <c r="E58" s="16" t="n">
        <v>7</v>
      </c>
      <c r="F58" s="12" t="inlineStr">
        <is>
          <t>★ เพิ่ม v13 • โมเดลคณิตเพื่อการลงทุน</t>
        </is>
      </c>
      <c r="G58" s="12" t="inlineStr">
        <is>
          <t>STA3102 (เช็ก)</t>
        </is>
      </c>
      <c r="H58" s="12" t="inlineStr">
        <is>
          <t>✓ prob/stats</t>
        </is>
      </c>
    </row>
    <row r="59">
      <c r="A59" s="17" t="inlineStr">
        <is>
          <t>☀ ภาคฤดูร้อน ปี 3   (9 นก. • ยากเฉลี่ย 2.0/10)</t>
        </is>
      </c>
      <c r="B59" s="18" t="n"/>
      <c r="C59" s="18" t="n"/>
      <c r="D59" s="18" t="n"/>
      <c r="E59" s="18" t="n"/>
      <c r="F59" s="18" t="n"/>
      <c r="G59" s="18" t="n"/>
      <c r="H59" s="19" t="inlineStr">
        <is>
          <t>9 นก.</t>
        </is>
      </c>
    </row>
    <row r="60">
      <c r="A60" s="13" t="inlineStr"/>
      <c r="B60" s="13" t="inlineStr">
        <is>
          <t>RAM1112</t>
        </is>
      </c>
      <c r="C60" s="14" t="inlineStr">
        <is>
          <t>ภาษาและวัฒนธรรมอังกฤษ</t>
        </is>
      </c>
      <c r="D60" s="13" t="n">
        <v>3</v>
      </c>
      <c r="E60" s="10" t="n">
        <v>2</v>
      </c>
      <c r="F60" s="14" t="inlineStr">
        <is>
          <t>ศึกษาทั่วไป 1.1 (ภาษาต่างประเทศ)</t>
        </is>
      </c>
      <c r="G60" s="14" t="inlineStr">
        <is>
          <t>-</t>
        </is>
      </c>
      <c r="H60" s="14" t="inlineStr">
        <is>
          <t>✓</t>
        </is>
      </c>
    </row>
    <row r="61">
      <c r="A61" s="13" t="inlineStr"/>
      <c r="B61" s="13" t="inlineStr">
        <is>
          <t>RAM1211</t>
        </is>
      </c>
      <c r="C61" s="14" t="inlineStr">
        <is>
          <t>Principles of Entrepreneurship</t>
        </is>
      </c>
      <c r="D61" s="13" t="n">
        <v>3</v>
      </c>
      <c r="E61" s="10" t="n">
        <v>2</v>
      </c>
      <c r="F61" s="14" t="inlineStr">
        <is>
          <t>ศึกษาทั่วไป 1.2 (ผู้ประกอบการ)</t>
        </is>
      </c>
      <c r="G61" s="14" t="inlineStr">
        <is>
          <t>-</t>
        </is>
      </c>
      <c r="H61" s="14" t="inlineStr">
        <is>
          <t>✓</t>
        </is>
      </c>
    </row>
    <row r="62">
      <c r="A62" s="13" t="inlineStr"/>
      <c r="B62" s="13" t="inlineStr">
        <is>
          <t>RAM1312</t>
        </is>
      </c>
      <c r="C62" s="14" t="inlineStr">
        <is>
          <t>Contemporary Culture &amp; Digital Disruption</t>
        </is>
      </c>
      <c r="D62" s="13" t="n">
        <v>3</v>
      </c>
      <c r="E62" s="10" t="n">
        <v>2</v>
      </c>
      <c r="F62" s="14" t="inlineStr">
        <is>
          <t>ศึกษาทั่วไป 1.3 (ศิลปะ)</t>
        </is>
      </c>
      <c r="G62" s="14" t="inlineStr">
        <is>
          <t>-</t>
        </is>
      </c>
      <c r="H62" s="14" t="inlineStr">
        <is>
          <t>✓</t>
        </is>
      </c>
    </row>
    <row r="63">
      <c r="A63" s="5" t="inlineStr">
        <is>
          <t>ปีที่ 4 / เทอม 1   (18 นก. • ยากเฉลี่ย 7.3/10)</t>
        </is>
      </c>
      <c r="B63" s="6" t="n"/>
      <c r="C63" s="6" t="n"/>
      <c r="D63" s="6" t="n"/>
      <c r="E63" s="6" t="n"/>
      <c r="F63" s="6" t="n"/>
      <c r="G63" s="6" t="n"/>
      <c r="H63" s="7" t="inlineStr">
        <is>
          <t>18 นก.</t>
        </is>
      </c>
    </row>
    <row r="64">
      <c r="A64" s="8" t="inlineStr"/>
      <c r="B64" s="8" t="inlineStr">
        <is>
          <t>ECO4124</t>
        </is>
      </c>
      <c r="C64" s="9" t="inlineStr">
        <is>
          <t>Time-Series Econometrics</t>
        </is>
      </c>
      <c r="D64" s="8" t="n">
        <v>3</v>
      </c>
      <c r="E64" s="16" t="n">
        <v>8</v>
      </c>
      <c r="F64" s="9" t="inlineStr">
        <is>
          <t>เชี่ยวชาญ (เลือก)</t>
        </is>
      </c>
      <c r="G64" s="9" t="inlineStr">
        <is>
          <t>ECO3123</t>
        </is>
      </c>
      <c r="H64" s="9" t="inlineStr">
        <is>
          <t>✓</t>
        </is>
      </c>
    </row>
    <row r="65">
      <c r="A65" s="8" t="inlineStr"/>
      <c r="B65" s="8" t="inlineStr">
        <is>
          <t>ECO4125</t>
        </is>
      </c>
      <c r="C65" s="9" t="inlineStr">
        <is>
          <t>Microeconometrics</t>
        </is>
      </c>
      <c r="D65" s="8" t="n">
        <v>3</v>
      </c>
      <c r="E65" s="16" t="n">
        <v>8</v>
      </c>
      <c r="F65" s="9" t="inlineStr">
        <is>
          <t>เชี่ยวชาญ (เลือก)</t>
        </is>
      </c>
      <c r="G65" s="9" t="inlineStr">
        <is>
          <t>ECO3123</t>
        </is>
      </c>
      <c r="H65" s="9" t="inlineStr">
        <is>
          <t>✓</t>
        </is>
      </c>
    </row>
    <row r="66">
      <c r="A66" s="20" t="inlineStr"/>
      <c r="B66" s="20" t="inlineStr">
        <is>
          <t>ECO4326</t>
        </is>
      </c>
      <c r="C66" s="21" t="inlineStr">
        <is>
          <t>Mathematical Finance</t>
        </is>
      </c>
      <c r="D66" s="20" t="n">
        <v>3</v>
      </c>
      <c r="E66" s="16" t="n">
        <v>8</v>
      </c>
      <c r="F66" s="21" t="inlineStr">
        <is>
          <t>เลือกกลุ่มอื่น–การเงิน</t>
        </is>
      </c>
      <c r="G66" s="21" t="inlineStr">
        <is>
          <t>ECO3323</t>
        </is>
      </c>
      <c r="H66" s="21" t="inlineStr">
        <is>
          <t>✓</t>
        </is>
      </c>
    </row>
    <row r="67">
      <c r="A67" s="11" t="inlineStr"/>
      <c r="B67" s="11" t="inlineStr">
        <is>
          <t>MTH3611</t>
        </is>
      </c>
      <c r="C67" s="12" t="inlineStr">
        <is>
          <t>Mathematical Stochastic Models</t>
        </is>
      </c>
      <c r="D67" s="11" t="n">
        <v>3</v>
      </c>
      <c r="E67" s="16" t="n">
        <v>8</v>
      </c>
      <c r="F67" s="12" t="inlineStr">
        <is>
          <t>เก็บเพิ่ม • Stochastic</t>
        </is>
      </c>
      <c r="G67" s="12" t="inlineStr">
        <is>
          <t>STA2003</t>
        </is>
      </c>
      <c r="H67" s="12" t="inlineStr">
        <is>
          <t>✓ PR=STA2003</t>
        </is>
      </c>
    </row>
    <row r="68">
      <c r="A68" s="20" t="inlineStr"/>
      <c r="B68" s="20" t="inlineStr">
        <is>
          <t>FIN3211</t>
        </is>
      </c>
      <c r="C68" s="21" t="inlineStr">
        <is>
          <t>Financial Management (Corp Finance)</t>
        </is>
      </c>
      <c r="D68" s="20" t="n">
        <v>3</v>
      </c>
      <c r="E68" s="15" t="n">
        <v>6</v>
      </c>
      <c r="F68" s="21" t="inlineStr">
        <is>
          <t>เก็บเพิ่ม • IB</t>
        </is>
      </c>
      <c r="G68" s="21" t="inlineStr">
        <is>
          <t>FIN2101</t>
        </is>
      </c>
      <c r="H68" s="21" t="inlineStr">
        <is>
          <t>⚠️ เช็ก FIN3208</t>
        </is>
      </c>
    </row>
    <row r="69">
      <c r="A69" s="20" t="inlineStr"/>
      <c r="B69" s="20" t="inlineStr">
        <is>
          <t>FIN3210</t>
        </is>
      </c>
      <c r="C69" s="21" t="inlineStr">
        <is>
          <t>Quantitative Analysis in Finance</t>
        </is>
      </c>
      <c r="D69" s="20" t="n">
        <v>3</v>
      </c>
      <c r="E69" s="15" t="n">
        <v>6</v>
      </c>
      <c r="F69" s="21" t="inlineStr">
        <is>
          <t>★ เพิ่ม v13 • quant+finance</t>
        </is>
      </c>
      <c r="G69" s="21" t="inlineStr">
        <is>
          <t>FIN2101</t>
        </is>
      </c>
      <c r="H69" s="21" t="inlineStr">
        <is>
          <t>✓</t>
        </is>
      </c>
    </row>
    <row r="70">
      <c r="A70" s="5" t="inlineStr">
        <is>
          <t>ปีที่ 4 / เทอม 2   (18 นก. • ยากเฉลี่ย 6.8/10)</t>
        </is>
      </c>
      <c r="B70" s="6" t="n"/>
      <c r="C70" s="6" t="n"/>
      <c r="D70" s="6" t="n"/>
      <c r="E70" s="6" t="n"/>
      <c r="F70" s="6" t="n"/>
      <c r="G70" s="6" t="n"/>
      <c r="H70" s="7" t="inlineStr">
        <is>
          <t>18 นก.</t>
        </is>
      </c>
    </row>
    <row r="71">
      <c r="A71" s="8" t="inlineStr"/>
      <c r="B71" s="8" t="inlineStr">
        <is>
          <t>ECO4123</t>
        </is>
      </c>
      <c r="C71" s="9" t="inlineStr">
        <is>
          <t>Game Theory (ทฤษฎีเกม)</t>
        </is>
      </c>
      <c r="D71" s="8" t="n">
        <v>3</v>
      </c>
      <c r="E71" s="16" t="n">
        <v>7</v>
      </c>
      <c r="F71" s="9" t="inlineStr">
        <is>
          <t>เชี่ยวชาญ (เลือก)</t>
        </is>
      </c>
      <c r="G71" s="9" t="inlineStr">
        <is>
          <t>ECO2123,2125</t>
        </is>
      </c>
      <c r="H71" s="9" t="inlineStr">
        <is>
          <t>✓</t>
        </is>
      </c>
    </row>
    <row r="72">
      <c r="A72" s="20" t="inlineStr"/>
      <c r="B72" s="20" t="inlineStr">
        <is>
          <t>ECO4327</t>
        </is>
      </c>
      <c r="C72" s="21" t="inlineStr">
        <is>
          <t>Financial Risk Mgmt &amp; Derivatives</t>
        </is>
      </c>
      <c r="D72" s="20" t="n">
        <v>3</v>
      </c>
      <c r="E72" s="16" t="n">
        <v>7</v>
      </c>
      <c r="F72" s="21" t="inlineStr">
        <is>
          <t>เลือกกลุ่มอื่น–การเงิน</t>
        </is>
      </c>
      <c r="G72" s="21" t="inlineStr">
        <is>
          <t>ECO3320,3323</t>
        </is>
      </c>
      <c r="H72" s="21" t="inlineStr">
        <is>
          <t>✓</t>
        </is>
      </c>
    </row>
    <row r="73">
      <c r="A73" s="20" t="inlineStr"/>
      <c r="B73" s="20" t="inlineStr">
        <is>
          <t>FIN3209</t>
        </is>
      </c>
      <c r="C73" s="21" t="inlineStr">
        <is>
          <t>Securities Analysis</t>
        </is>
      </c>
      <c r="D73" s="20" t="n">
        <v>3</v>
      </c>
      <c r="E73" s="15" t="n">
        <v>6</v>
      </c>
      <c r="F73" s="21" t="inlineStr">
        <is>
          <t>เก็บเพิ่ม • valuation</t>
        </is>
      </c>
      <c r="G73" s="21" t="inlineStr">
        <is>
          <t>FIN2101</t>
        </is>
      </c>
      <c r="H73" s="21" t="inlineStr">
        <is>
          <t>✓</t>
        </is>
      </c>
    </row>
    <row r="74">
      <c r="A74" s="20" t="inlineStr"/>
      <c r="B74" s="20" t="inlineStr">
        <is>
          <t>FIN3205</t>
        </is>
      </c>
      <c r="C74" s="21" t="inlineStr">
        <is>
          <t>Principles &amp; Policies of Investment</t>
        </is>
      </c>
      <c r="D74" s="20" t="n">
        <v>3</v>
      </c>
      <c r="E74" s="15" t="n">
        <v>5</v>
      </c>
      <c r="F74" s="21" t="inlineStr">
        <is>
          <t>เก็บเพิ่ม • การลงทุน</t>
        </is>
      </c>
      <c r="G74" s="21" t="inlineStr">
        <is>
          <t>FIN2101</t>
        </is>
      </c>
      <c r="H74" s="21" t="inlineStr">
        <is>
          <t>✓</t>
        </is>
      </c>
    </row>
    <row r="75">
      <c r="A75" s="11" t="inlineStr"/>
      <c r="B75" s="11" t="inlineStr">
        <is>
          <t>STA4101</t>
        </is>
      </c>
      <c r="C75" s="12" t="inlineStr">
        <is>
          <t>Theory of Statistics 1</t>
        </is>
      </c>
      <c r="D75" s="11" t="n">
        <v>3</v>
      </c>
      <c r="E75" s="22" t="n">
        <v>9</v>
      </c>
      <c r="F75" s="12" t="inlineStr">
        <is>
          <t>★ Math Stats (MFE core)</t>
        </is>
      </c>
      <c r="G75" s="12" t="inlineStr">
        <is>
          <t>STA3102</t>
        </is>
      </c>
      <c r="H75" s="12" t="inlineStr">
        <is>
          <t>✓</t>
        </is>
      </c>
    </row>
    <row r="76">
      <c r="A76" s="11" t="inlineStr"/>
      <c r="B76" s="11" t="inlineStr">
        <is>
          <t>STA4309</t>
        </is>
      </c>
      <c r="C76" s="12" t="inlineStr">
        <is>
          <t>Statistical Forecasting Methods</t>
        </is>
      </c>
      <c r="D76" s="11" t="n">
        <v>3</v>
      </c>
      <c r="E76" s="16" t="n">
        <v>7</v>
      </c>
      <c r="F76" s="12" t="inlineStr">
        <is>
          <t>★ แนะนำเพิ่ม v13 • Forecasting</t>
        </is>
      </c>
      <c r="G76" s="12" t="inlineStr">
        <is>
          <t>STA3102 (เช็ก)</t>
        </is>
      </c>
      <c r="H76" s="12" t="inlineStr">
        <is>
          <t>✓ (แนะนำ)</t>
        </is>
      </c>
    </row>
    <row r="77" ht="22" customHeight="1">
      <c r="A77" s="5" t="inlineStr">
        <is>
          <t>รวม 183 นก. / 61 วิชา (หลักสูตรแกน 120 + เก็บเพิ่ม 63) • 8 เทอมปกติ + 3 ภาคฤดูร้อน • ★ = วิชาเพิ่มใหม่ v13</t>
        </is>
      </c>
    </row>
  </sheetData>
  <mergeCells count="14">
    <mergeCell ref="A77:H77"/>
    <mergeCell ref="A70:G70"/>
    <mergeCell ref="A31:G31"/>
    <mergeCell ref="A2:H2"/>
    <mergeCell ref="A39:G39"/>
    <mergeCell ref="A12:G12"/>
    <mergeCell ref="A63:G63"/>
    <mergeCell ref="A59:G59"/>
    <mergeCell ref="A1:H1"/>
    <mergeCell ref="A43:G43"/>
    <mergeCell ref="A19:G19"/>
    <mergeCell ref="A51:G51"/>
    <mergeCell ref="A5:G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40" customWidth="1" min="3" max="3"/>
    <col width="5" customWidth="1" min="4" max="4"/>
    <col width="8" customWidth="1" min="5" max="5"/>
    <col width="7" customWidth="1" min="6" max="6"/>
    <col width="10" customWidth="1" min="7" max="7"/>
    <col width="8" customWidth="1" min="9" max="9"/>
    <col width="8" customWidth="1" min="10" max="10"/>
    <col width="7" customWidth="1" min="11" max="11"/>
  </cols>
  <sheetData>
    <row r="1" ht="24" customHeight="1">
      <c r="A1" s="1" t="inlineStr">
        <is>
          <t>🎓 คำนวณ GPAX อัตโนมัติ — เลือกเกรดในช่องสีเหลือง</t>
        </is>
      </c>
    </row>
    <row r="2">
      <c r="A2" s="2" t="inlineStr">
        <is>
          <t>A=4 B+=3.5 B=3 C+=2.5 C=2 D+=1.5 D=1 F=0 • GPAX=Σ(แต้ม×นก.)÷Σนก.ที่มีเกรด • รวม Summer แล้ว</t>
        </is>
      </c>
    </row>
    <row r="4">
      <c r="A4" s="23" t="inlineStr">
        <is>
          <t>📊 สรุปผล (คำนวณอัตโนมัติ)</t>
        </is>
      </c>
      <c r="I4" s="3" t="inlineStr">
        <is>
          <t>GPA รายเทอม</t>
        </is>
      </c>
    </row>
    <row r="5" ht="30" customHeight="1">
      <c r="A5" s="5" t="inlineStr">
        <is>
          <t>GPAX สะสม</t>
        </is>
      </c>
      <c r="C5" s="24">
        <f>IF($G$5=0,"",SUM($G$10:$G$75)/$G$5)</f>
        <v/>
      </c>
      <c r="E5" s="5" t="inlineStr">
        <is>
          <t>หน่วยกิตที่มีเกรดแล้ว</t>
        </is>
      </c>
      <c r="G5" s="25">
        <f>SUMPRODUCT(($E$10:$E$75&lt;&gt;"")*$D$10:$D$75)</f>
        <v/>
      </c>
      <c r="I5" s="7" t="inlineStr">
        <is>
          <t>เทอม</t>
        </is>
      </c>
      <c r="J5" s="7" t="inlineStr">
        <is>
          <t>GPA</t>
        </is>
      </c>
      <c r="K5" s="7" t="inlineStr">
        <is>
          <t>นก.</t>
        </is>
      </c>
    </row>
    <row r="6">
      <c r="A6" s="5" t="inlineStr">
        <is>
          <t>เทียบเกียรตินิยม*</t>
        </is>
      </c>
      <c r="C6" s="26">
        <f>IF($C$5="","-",IF($C$5&gt;=3.8,"อันดับ 1 เหรียญทอง 🥇",IF($C$5&gt;=3.6,"อันดับ 1 🏆",IF($C$5&gt;=3.3,"อันดับ 2 🥈","ไม่เข้าเกณฑ์"))))</f>
        <v/>
      </c>
      <c r="E6" s="5" t="inlineStr">
        <is>
          <t>หน่วยกิตรวมทั้งหมด</t>
        </is>
      </c>
      <c r="G6" s="25">
        <f>SUM($D$10:$D$75)</f>
        <v/>
      </c>
      <c r="I6" s="27" t="inlineStr">
        <is>
          <t>1/1</t>
        </is>
      </c>
      <c r="J6" s="28">
        <f>IF(SUMPRODUCT(($A$10:$A$75=$I6)*($E$10:$E$75&lt;&gt;"")*$D$10:$D$75)=0,"",SUMPRODUCT(($A$10:$A$75=$I6)*$G$10:$G$75)/SUMPRODUCT(($A$10:$A$75=$I6)*($E$10:$E$75&lt;&gt;"")*$D$10:$D$75))</f>
        <v/>
      </c>
      <c r="K6" s="29">
        <f>SUMPRODUCT(($A$10:$A$75=$I6)*($E$10:$E$75&lt;&gt;"")*$D$10:$D$75)</f>
        <v/>
      </c>
    </row>
    <row r="7">
      <c r="A7" s="5" t="inlineStr">
        <is>
          <t>🎯 ตั้งเป้า GPAX (กรอก)</t>
        </is>
      </c>
      <c r="C7" s="30" t="n">
        <v>3.8</v>
      </c>
      <c r="E7" s="5" t="inlineStr">
        <is>
          <t>ต้องได้เฉลี่ยอีก (เต็ม 4)</t>
        </is>
      </c>
      <c r="G7" s="28">
        <f>IF(($G$6-$G$5)&lt;=0,"-",IF($C$7="","",($C$7*$G$6-SUM($G$10:$G$75))/($G$6-$G$5)))</f>
        <v/>
      </c>
      <c r="I7" s="27" t="inlineStr">
        <is>
          <t>1/2</t>
        </is>
      </c>
      <c r="J7" s="28">
        <f>IF(SUMPRODUCT(($A$10:$A$75=$I7)*($E$10:$E$75&lt;&gt;"")*$D$10:$D$75)=0,"",SUMPRODUCT(($A$10:$A$75=$I7)*$G$10:$G$75)/SUMPRODUCT(($A$10:$A$75=$I7)*($E$10:$E$75&lt;&gt;"")*$D$10:$D$75))</f>
        <v/>
      </c>
      <c r="K7" s="29">
        <f>SUMPRODUCT(($A$10:$A$75=$I7)*($E$10:$E$75&lt;&gt;"")*$D$10:$D$75)</f>
        <v/>
      </c>
    </row>
    <row r="8">
      <c r="A8" s="31" t="inlineStr">
        <is>
          <t>เกณฑ์: เหรียญทอง ≥3.80 | อันดับ1 = 3.60–3.79 | อันดับ2 = 3.30–3.59 • ดูชีต 'เทียบ ป.โท Top-U'</t>
        </is>
      </c>
      <c r="I8" s="20" t="inlineStr">
        <is>
          <t>1/S</t>
        </is>
      </c>
      <c r="J8" s="28">
        <f>IF(SUMPRODUCT(($A$10:$A$75=$I8)*($E$10:$E$75&lt;&gt;"")*$D$10:$D$75)=0,"",SUMPRODUCT(($A$10:$A$75=$I8)*$G$10:$G$75)/SUMPRODUCT(($A$10:$A$75=$I8)*($E$10:$E$75&lt;&gt;"")*$D$10:$D$75))</f>
        <v/>
      </c>
      <c r="K8" s="29">
        <f>SUMPRODUCT(($A$10:$A$75=$I8)*($E$10:$E$75&lt;&gt;"")*$D$10:$D$75)</f>
        <v/>
      </c>
    </row>
    <row r="9">
      <c r="A9" s="3" t="inlineStr">
        <is>
          <t>ปี/เทอม</t>
        </is>
      </c>
      <c r="B9" s="3" t="inlineStr">
        <is>
          <t>รหัส</t>
        </is>
      </c>
      <c r="C9" s="3" t="inlineStr">
        <is>
          <t>ชื่อวิชา</t>
        </is>
      </c>
      <c r="D9" s="3" t="inlineStr">
        <is>
          <t>นก.</t>
        </is>
      </c>
      <c r="E9" s="3" t="inlineStr">
        <is>
          <t>เกรด</t>
        </is>
      </c>
      <c r="F9" s="3" t="inlineStr">
        <is>
          <t>แต้ม</t>
        </is>
      </c>
      <c r="G9" s="3" t="inlineStr">
        <is>
          <t>แต้ม×นก.</t>
        </is>
      </c>
      <c r="I9" s="27" t="inlineStr">
        <is>
          <t>2/1</t>
        </is>
      </c>
      <c r="J9" s="28">
        <f>IF(SUMPRODUCT(($A$10:$A$75=$I9)*($E$10:$E$75&lt;&gt;"")*$D$10:$D$75)=0,"",SUMPRODUCT(($A$10:$A$75=$I9)*$G$10:$G$75)/SUMPRODUCT(($A$10:$A$75=$I9)*($E$10:$E$75&lt;&gt;"")*$D$10:$D$75))</f>
        <v/>
      </c>
      <c r="K9" s="29">
        <f>SUMPRODUCT(($A$10:$A$75=$I9)*($E$10:$E$75&lt;&gt;"")*$D$10:$D$75)</f>
        <v/>
      </c>
    </row>
    <row r="10">
      <c r="A10" s="27" t="inlineStr">
        <is>
          <t>1/1</t>
        </is>
      </c>
      <c r="B10" s="27" t="inlineStr">
        <is>
          <t>ECO1121</t>
        </is>
      </c>
      <c r="C10" s="32" t="inlineStr">
        <is>
          <t>หลักเศรษฐศาสตร์จุลภาค</t>
        </is>
      </c>
      <c r="D10" s="27" t="n">
        <v>3</v>
      </c>
      <c r="E10" s="33" t="n"/>
      <c r="F10" s="34">
        <f>IFERROR(VLOOKUP($E10,Scale!$A$2:$B$9,2,FALSE),"")</f>
        <v/>
      </c>
      <c r="G10" s="34">
        <f>IF($E10="",0,$F10*$D10)</f>
        <v/>
      </c>
      <c r="I10" s="27" t="inlineStr">
        <is>
          <t>2/2</t>
        </is>
      </c>
      <c r="J10" s="28">
        <f>IF(SUMPRODUCT(($A$10:$A$75=$I10)*($E$10:$E$75&lt;&gt;"")*$D$10:$D$75)=0,"",SUMPRODUCT(($A$10:$A$75=$I10)*$G$10:$G$75)/SUMPRODUCT(($A$10:$A$75=$I10)*($E$10:$E$75&lt;&gt;"")*$D$10:$D$75))</f>
        <v/>
      </c>
      <c r="K10" s="29">
        <f>SUMPRODUCT(($A$10:$A$75=$I10)*($E$10:$E$75&lt;&gt;"")*$D$10:$D$75)</f>
        <v/>
      </c>
    </row>
    <row r="11">
      <c r="A11" s="27" t="inlineStr">
        <is>
          <t>1/1</t>
        </is>
      </c>
      <c r="B11" s="27" t="inlineStr">
        <is>
          <t>ECO1123</t>
        </is>
      </c>
      <c r="C11" s="32" t="inlineStr">
        <is>
          <t>คณิต–สถิติเบื้องต้นสำหรับ ศ.</t>
        </is>
      </c>
      <c r="D11" s="27" t="n">
        <v>3</v>
      </c>
      <c r="E11" s="33" t="n"/>
      <c r="F11" s="34">
        <f>IFERROR(VLOOKUP($E11,Scale!$A$2:$B$9,2,FALSE),"")</f>
        <v/>
      </c>
      <c r="G11" s="34">
        <f>IF($E11="",0,$F11*$D11)</f>
        <v/>
      </c>
      <c r="I11" s="20" t="inlineStr">
        <is>
          <t>2/S</t>
        </is>
      </c>
      <c r="J11" s="28">
        <f>IF(SUMPRODUCT(($A$10:$A$75=$I11)*($E$10:$E$75&lt;&gt;"")*$D$10:$D$75)=0,"",SUMPRODUCT(($A$10:$A$75=$I11)*$G$10:$G$75)/SUMPRODUCT(($A$10:$A$75=$I11)*($E$10:$E$75&lt;&gt;"")*$D$10:$D$75))</f>
        <v/>
      </c>
      <c r="K11" s="29">
        <f>SUMPRODUCT(($A$10:$A$75=$I11)*($E$10:$E$75&lt;&gt;"")*$D$10:$D$75)</f>
        <v/>
      </c>
    </row>
    <row r="12">
      <c r="A12" s="27" t="inlineStr">
        <is>
          <t>1/1</t>
        </is>
      </c>
      <c r="B12" s="27" t="inlineStr">
        <is>
          <t>ACC1103</t>
        </is>
      </c>
      <c r="C12" s="32" t="inlineStr">
        <is>
          <t>การบัญชีการเงิน</t>
        </is>
      </c>
      <c r="D12" s="27" t="n">
        <v>3</v>
      </c>
      <c r="E12" s="33" t="n"/>
      <c r="F12" s="34">
        <f>IFERROR(VLOOKUP($E12,Scale!$A$2:$B$9,2,FALSE),"")</f>
        <v/>
      </c>
      <c r="G12" s="34">
        <f>IF($E12="",0,$F12*$D12)</f>
        <v/>
      </c>
      <c r="I12" s="27" t="inlineStr">
        <is>
          <t>3/1</t>
        </is>
      </c>
      <c r="J12" s="28">
        <f>IF(SUMPRODUCT(($A$10:$A$75=$I12)*($E$10:$E$75&lt;&gt;"")*$D$10:$D$75)=0,"",SUMPRODUCT(($A$10:$A$75=$I12)*$G$10:$G$75)/SUMPRODUCT(($A$10:$A$75=$I12)*($E$10:$E$75&lt;&gt;"")*$D$10:$D$75))</f>
        <v/>
      </c>
      <c r="K12" s="29">
        <f>SUMPRODUCT(($A$10:$A$75=$I12)*($E$10:$E$75&lt;&gt;"")*$D$10:$D$75)</f>
        <v/>
      </c>
    </row>
    <row r="13">
      <c r="A13" s="27" t="inlineStr">
        <is>
          <t>1/1</t>
        </is>
      </c>
      <c r="B13" s="27" t="inlineStr">
        <is>
          <t>MTH1101</t>
        </is>
      </c>
      <c r="C13" s="32" t="inlineStr">
        <is>
          <t>Calculus &amp; Analytic Geometry I</t>
        </is>
      </c>
      <c r="D13" s="27" t="n">
        <v>3</v>
      </c>
      <c r="E13" s="33" t="n"/>
      <c r="F13" s="34">
        <f>IFERROR(VLOOKUP($E13,Scale!$A$2:$B$9,2,FALSE),"")</f>
        <v/>
      </c>
      <c r="G13" s="34">
        <f>IF($E13="",0,$F13*$D13)</f>
        <v/>
      </c>
      <c r="I13" s="27" t="inlineStr">
        <is>
          <t>3/2</t>
        </is>
      </c>
      <c r="J13" s="28">
        <f>IF(SUMPRODUCT(($A$10:$A$75=$I13)*($E$10:$E$75&lt;&gt;"")*$D$10:$D$75)=0,"",SUMPRODUCT(($A$10:$A$75=$I13)*$G$10:$G$75)/SUMPRODUCT(($A$10:$A$75=$I13)*($E$10:$E$75&lt;&gt;"")*$D$10:$D$75))</f>
        <v/>
      </c>
      <c r="K13" s="29">
        <f>SUMPRODUCT(($A$10:$A$75=$I13)*($E$10:$E$75&lt;&gt;"")*$D$10:$D$75)</f>
        <v/>
      </c>
    </row>
    <row r="14">
      <c r="A14" s="27" t="inlineStr">
        <is>
          <t>1/1</t>
        </is>
      </c>
      <c r="B14" s="27" t="inlineStr">
        <is>
          <t>RAM1111</t>
        </is>
      </c>
      <c r="C14" s="32" t="inlineStr">
        <is>
          <t>English in Daily Life</t>
        </is>
      </c>
      <c r="D14" s="27" t="n">
        <v>3</v>
      </c>
      <c r="E14" s="33" t="n"/>
      <c r="F14" s="34">
        <f>IFERROR(VLOOKUP($E14,Scale!$A$2:$B$9,2,FALSE),"")</f>
        <v/>
      </c>
      <c r="G14" s="34">
        <f>IF($E14="",0,$F14*$D14)</f>
        <v/>
      </c>
      <c r="I14" s="20" t="inlineStr">
        <is>
          <t>3/S</t>
        </is>
      </c>
      <c r="J14" s="28">
        <f>IF(SUMPRODUCT(($A$10:$A$75=$I14)*($E$10:$E$75&lt;&gt;"")*$D$10:$D$75)=0,"",SUMPRODUCT(($A$10:$A$75=$I14)*$G$10:$G$75)/SUMPRODUCT(($A$10:$A$75=$I14)*($E$10:$E$75&lt;&gt;"")*$D$10:$D$75))</f>
        <v/>
      </c>
      <c r="K14" s="29">
        <f>SUMPRODUCT(($A$10:$A$75=$I14)*($E$10:$E$75&lt;&gt;"")*$D$10:$D$75)</f>
        <v/>
      </c>
    </row>
    <row r="15">
      <c r="A15" s="27" t="inlineStr">
        <is>
          <t>1/1</t>
        </is>
      </c>
      <c r="B15" s="27" t="inlineStr">
        <is>
          <t>COS1101</t>
        </is>
      </c>
      <c r="C15" s="32" t="inlineStr">
        <is>
          <t>Introduction to Computer Science</t>
        </is>
      </c>
      <c r="D15" s="27" t="n">
        <v>3</v>
      </c>
      <c r="E15" s="33" t="n"/>
      <c r="F15" s="34">
        <f>IFERROR(VLOOKUP($E15,Scale!$A$2:$B$9,2,FALSE),"")</f>
        <v/>
      </c>
      <c r="G15" s="34">
        <f>IF($E15="",0,$F15*$D15)</f>
        <v/>
      </c>
      <c r="I15" s="27" t="inlineStr">
        <is>
          <t>4/1</t>
        </is>
      </c>
      <c r="J15" s="28">
        <f>IF(SUMPRODUCT(($A$10:$A$75=$I15)*($E$10:$E$75&lt;&gt;"")*$D$10:$D$75)=0,"",SUMPRODUCT(($A$10:$A$75=$I15)*$G$10:$G$75)/SUMPRODUCT(($A$10:$A$75=$I15)*($E$10:$E$75&lt;&gt;"")*$D$10:$D$75))</f>
        <v/>
      </c>
      <c r="K15" s="29">
        <f>SUMPRODUCT(($A$10:$A$75=$I15)*($E$10:$E$75&lt;&gt;"")*$D$10:$D$75)</f>
        <v/>
      </c>
    </row>
    <row r="16">
      <c r="A16" s="27" t="inlineStr">
        <is>
          <t>1/2</t>
        </is>
      </c>
      <c r="B16" s="27" t="inlineStr">
        <is>
          <t>ECO1122</t>
        </is>
      </c>
      <c r="C16" s="32" t="inlineStr">
        <is>
          <t>หลักเศรษฐศาสตร์มหภาค</t>
        </is>
      </c>
      <c r="D16" s="27" t="n">
        <v>3</v>
      </c>
      <c r="E16" s="33" t="n"/>
      <c r="F16" s="34">
        <f>IFERROR(VLOOKUP($E16,Scale!$A$2:$B$9,2,FALSE),"")</f>
        <v/>
      </c>
      <c r="G16" s="34">
        <f>IF($E16="",0,$F16*$D16)</f>
        <v/>
      </c>
      <c r="I16" s="27" t="inlineStr">
        <is>
          <t>4/2</t>
        </is>
      </c>
      <c r="J16" s="28">
        <f>IF(SUMPRODUCT(($A$10:$A$75=$I16)*($E$10:$E$75&lt;&gt;"")*$D$10:$D$75)=0,"",SUMPRODUCT(($A$10:$A$75=$I16)*$G$10:$G$75)/SUMPRODUCT(($A$10:$A$75=$I16)*($E$10:$E$75&lt;&gt;"")*$D$10:$D$75))</f>
        <v/>
      </c>
      <c r="K16" s="29">
        <f>SUMPRODUCT(($A$10:$A$75=$I16)*($E$10:$E$75&lt;&gt;"")*$D$10:$D$75)</f>
        <v/>
      </c>
    </row>
    <row r="17">
      <c r="A17" s="27" t="inlineStr">
        <is>
          <t>1/2</t>
        </is>
      </c>
      <c r="B17" s="27" t="inlineStr">
        <is>
          <t>MTH1102</t>
        </is>
      </c>
      <c r="C17" s="32" t="inlineStr">
        <is>
          <t>Calculus &amp; Analytic Geometry II</t>
        </is>
      </c>
      <c r="D17" s="27" t="n">
        <v>3</v>
      </c>
      <c r="E17" s="33" t="n"/>
      <c r="F17" s="34">
        <f>IFERROR(VLOOKUP($E17,Scale!$A$2:$B$9,2,FALSE),"")</f>
        <v/>
      </c>
      <c r="G17" s="34">
        <f>IF($E17="",0,$F17*$D17)</f>
        <v/>
      </c>
    </row>
    <row r="18">
      <c r="A18" s="27" t="inlineStr">
        <is>
          <t>1/2</t>
        </is>
      </c>
      <c r="B18" s="27" t="inlineStr">
        <is>
          <t>MTH2001</t>
        </is>
      </c>
      <c r="C18" s="32" t="inlineStr">
        <is>
          <t>Fundamental Concepts in Math 1</t>
        </is>
      </c>
      <c r="D18" s="27" t="n">
        <v>3</v>
      </c>
      <c r="E18" s="33" t="n"/>
      <c r="F18" s="34">
        <f>IFERROR(VLOOKUP($E18,Scale!$A$2:$B$9,2,FALSE),"")</f>
        <v/>
      </c>
      <c r="G18" s="34">
        <f>IF($E18="",0,$F18*$D18)</f>
        <v/>
      </c>
    </row>
    <row r="19">
      <c r="A19" s="27" t="inlineStr">
        <is>
          <t>1/2</t>
        </is>
      </c>
      <c r="B19" s="27" t="inlineStr">
        <is>
          <t>MTH2206</t>
        </is>
      </c>
      <c r="C19" s="32" t="inlineStr">
        <is>
          <t>Matrix Theory &amp; Linear Algebra 1</t>
        </is>
      </c>
      <c r="D19" s="27" t="n">
        <v>3</v>
      </c>
      <c r="E19" s="33" t="n"/>
      <c r="F19" s="34">
        <f>IFERROR(VLOOKUP($E19,Scale!$A$2:$B$9,2,FALSE),"")</f>
        <v/>
      </c>
      <c r="G19" s="34">
        <f>IF($E19="",0,$F19*$D19)</f>
        <v/>
      </c>
    </row>
    <row r="20">
      <c r="A20" s="27" t="inlineStr">
        <is>
          <t>1/2</t>
        </is>
      </c>
      <c r="B20" s="27" t="inlineStr">
        <is>
          <t>COS1103</t>
        </is>
      </c>
      <c r="C20" s="32" t="inlineStr">
        <is>
          <t>Algorithms and Programming</t>
        </is>
      </c>
      <c r="D20" s="27" t="n">
        <v>3</v>
      </c>
      <c r="E20" s="33" t="n"/>
      <c r="F20" s="34">
        <f>IFERROR(VLOOKUP($E20,Scale!$A$2:$B$9,2,FALSE),"")</f>
        <v/>
      </c>
      <c r="G20" s="34">
        <f>IF($E20="",0,$F20*$D20)</f>
        <v/>
      </c>
    </row>
    <row r="21">
      <c r="A21" s="27" t="inlineStr">
        <is>
          <t>1/2</t>
        </is>
      </c>
      <c r="B21" s="27" t="inlineStr">
        <is>
          <t>STA2016</t>
        </is>
      </c>
      <c r="C21" s="32" t="inlineStr">
        <is>
          <t>Business Statistics &amp; Quant Analysis</t>
        </is>
      </c>
      <c r="D21" s="27" t="n">
        <v>3</v>
      </c>
      <c r="E21" s="33" t="n"/>
      <c r="F21" s="34">
        <f>IFERROR(VLOOKUP($E21,Scale!$A$2:$B$9,2,FALSE),"")</f>
        <v/>
      </c>
      <c r="G21" s="34">
        <f>IF($E21="",0,$F21*$D21)</f>
        <v/>
      </c>
    </row>
    <row r="22">
      <c r="A22" s="27" t="inlineStr">
        <is>
          <t>1/S</t>
        </is>
      </c>
      <c r="B22" s="27" t="inlineStr">
        <is>
          <t>RAM1103</t>
        </is>
      </c>
      <c r="C22" s="32" t="inlineStr">
        <is>
          <t>Thai for Communication at Work</t>
        </is>
      </c>
      <c r="D22" s="27" t="n">
        <v>3</v>
      </c>
      <c r="E22" s="33" t="n"/>
      <c r="F22" s="34">
        <f>IFERROR(VLOOKUP($E22,Scale!$A$2:$B$9,2,FALSE),"")</f>
        <v/>
      </c>
      <c r="G22" s="34">
        <f>IF($E22="",0,$F22*$D22)</f>
        <v/>
      </c>
    </row>
    <row r="23">
      <c r="A23" s="27" t="inlineStr">
        <is>
          <t>1/S</t>
        </is>
      </c>
      <c r="B23" s="27" t="inlineStr">
        <is>
          <t>RAM1131</t>
        </is>
      </c>
      <c r="C23" s="32" t="inlineStr">
        <is>
          <t>Digital Literacy</t>
        </is>
      </c>
      <c r="D23" s="27" t="n">
        <v>3</v>
      </c>
      <c r="E23" s="33" t="n"/>
      <c r="F23" s="34">
        <f>IFERROR(VLOOKUP($E23,Scale!$A$2:$B$9,2,FALSE),"")</f>
        <v/>
      </c>
      <c r="G23" s="34">
        <f>IF($E23="",0,$F23*$D23)</f>
        <v/>
      </c>
    </row>
    <row r="24">
      <c r="A24" s="27" t="inlineStr">
        <is>
          <t>1/S</t>
        </is>
      </c>
      <c r="B24" s="27" t="inlineStr">
        <is>
          <t>RAM1301</t>
        </is>
      </c>
      <c r="C24" s="32" t="inlineStr">
        <is>
          <t>คุณธรรมคู่ความรู้</t>
        </is>
      </c>
      <c r="D24" s="27" t="n">
        <v>3</v>
      </c>
      <c r="E24" s="33" t="n"/>
      <c r="F24" s="34">
        <f>IFERROR(VLOOKUP($E24,Scale!$A$2:$B$9,2,FALSE),"")</f>
        <v/>
      </c>
      <c r="G24" s="34">
        <f>IF($E24="",0,$F24*$D24)</f>
        <v/>
      </c>
    </row>
    <row r="25">
      <c r="A25" s="27" t="inlineStr">
        <is>
          <t>2/1</t>
        </is>
      </c>
      <c r="B25" s="27" t="inlineStr">
        <is>
          <t>ECO2121</t>
        </is>
      </c>
      <c r="C25" s="32" t="inlineStr">
        <is>
          <t>ทฤษฎีจุลภาค 1</t>
        </is>
      </c>
      <c r="D25" s="27" t="n">
        <v>3</v>
      </c>
      <c r="E25" s="33" t="n"/>
      <c r="F25" s="34">
        <f>IFERROR(VLOOKUP($E25,Scale!$A$2:$B$9,2,FALSE),"")</f>
        <v/>
      </c>
      <c r="G25" s="34">
        <f>IF($E25="",0,$F25*$D25)</f>
        <v/>
      </c>
    </row>
    <row r="26">
      <c r="A26" s="27" t="inlineStr">
        <is>
          <t>2/1</t>
        </is>
      </c>
      <c r="B26" s="27" t="inlineStr">
        <is>
          <t>ECO2122</t>
        </is>
      </c>
      <c r="C26" s="32" t="inlineStr">
        <is>
          <t>ทฤษฎีมหภาค 1</t>
        </is>
      </c>
      <c r="D26" s="27" t="n">
        <v>3</v>
      </c>
      <c r="E26" s="33" t="n"/>
      <c r="F26" s="34">
        <f>IFERROR(VLOOKUP($E26,Scale!$A$2:$B$9,2,FALSE),"")</f>
        <v/>
      </c>
      <c r="G26" s="34">
        <f>IF($E26="",0,$F26*$D26)</f>
        <v/>
      </c>
    </row>
    <row r="27">
      <c r="A27" s="27" t="inlineStr">
        <is>
          <t>2/1</t>
        </is>
      </c>
      <c r="B27" s="27" t="inlineStr">
        <is>
          <t>ECO2125</t>
        </is>
      </c>
      <c r="C27" s="32" t="inlineStr">
        <is>
          <t>คณิตศาสตร์สำหรับเศรษฐศาสตร์</t>
        </is>
      </c>
      <c r="D27" s="27" t="n">
        <v>3</v>
      </c>
      <c r="E27" s="33" t="n"/>
      <c r="F27" s="34">
        <f>IFERROR(VLOOKUP($E27,Scale!$A$2:$B$9,2,FALSE),"")</f>
        <v/>
      </c>
      <c r="G27" s="34">
        <f>IF($E27="",0,$F27*$D27)</f>
        <v/>
      </c>
    </row>
    <row r="28">
      <c r="A28" s="27" t="inlineStr">
        <is>
          <t>2/1</t>
        </is>
      </c>
      <c r="B28" s="27" t="inlineStr">
        <is>
          <t>ECO2129</t>
        </is>
      </c>
      <c r="C28" s="32" t="inlineStr">
        <is>
          <t>เศรษฐกิจประเทศไทย</t>
        </is>
      </c>
      <c r="D28" s="27" t="n">
        <v>3</v>
      </c>
      <c r="E28" s="33" t="n"/>
      <c r="F28" s="34">
        <f>IFERROR(VLOOKUP($E28,Scale!$A$2:$B$9,2,FALSE),"")</f>
        <v/>
      </c>
      <c r="G28" s="34">
        <f>IF($E28="",0,$F28*$D28)</f>
        <v/>
      </c>
    </row>
    <row r="29">
      <c r="A29" s="27" t="inlineStr">
        <is>
          <t>2/1</t>
        </is>
      </c>
      <c r="B29" s="27" t="inlineStr">
        <is>
          <t>MTH2103</t>
        </is>
      </c>
      <c r="C29" s="32" t="inlineStr">
        <is>
          <t>Calculus &amp; Analytic Geometry III</t>
        </is>
      </c>
      <c r="D29" s="27" t="n">
        <v>3</v>
      </c>
      <c r="E29" s="33" t="n"/>
      <c r="F29" s="34">
        <f>IFERROR(VLOOKUP($E29,Scale!$A$2:$B$9,2,FALSE),"")</f>
        <v/>
      </c>
      <c r="G29" s="34">
        <f>IF($E29="",0,$F29*$D29)</f>
        <v/>
      </c>
    </row>
    <row r="30">
      <c r="A30" s="27" t="inlineStr">
        <is>
          <t>2/1</t>
        </is>
      </c>
      <c r="B30" s="27" t="inlineStr">
        <is>
          <t>STA3101</t>
        </is>
      </c>
      <c r="C30" s="32" t="inlineStr">
        <is>
          <t>Probability Theory 1</t>
        </is>
      </c>
      <c r="D30" s="27" t="n">
        <v>3</v>
      </c>
      <c r="E30" s="33" t="n"/>
      <c r="F30" s="34">
        <f>IFERROR(VLOOKUP($E30,Scale!$A$2:$B$9,2,FALSE),"")</f>
        <v/>
      </c>
      <c r="G30" s="34">
        <f>IF($E30="",0,$F30*$D30)</f>
        <v/>
      </c>
    </row>
    <row r="31">
      <c r="A31" s="27" t="inlineStr">
        <is>
          <t>2/1</t>
        </is>
      </c>
      <c r="B31" s="27" t="inlineStr">
        <is>
          <t>STA2003</t>
        </is>
      </c>
      <c r="C31" s="32" t="inlineStr">
        <is>
          <t>Principles of Statistics</t>
        </is>
      </c>
      <c r="D31" s="27" t="n">
        <v>3</v>
      </c>
      <c r="E31" s="33" t="n"/>
      <c r="F31" s="34">
        <f>IFERROR(VLOOKUP($E31,Scale!$A$2:$B$9,2,FALSE),"")</f>
        <v/>
      </c>
      <c r="G31" s="34">
        <f>IF($E31="",0,$F31*$D31)</f>
        <v/>
      </c>
    </row>
    <row r="32">
      <c r="A32" s="27" t="inlineStr">
        <is>
          <t>2/2</t>
        </is>
      </c>
      <c r="B32" s="27" t="inlineStr">
        <is>
          <t>ECO2123</t>
        </is>
      </c>
      <c r="C32" s="32" t="inlineStr">
        <is>
          <t>ทฤษฎีจุลภาค 2</t>
        </is>
      </c>
      <c r="D32" s="27" t="n">
        <v>3</v>
      </c>
      <c r="E32" s="33" t="n"/>
      <c r="F32" s="34">
        <f>IFERROR(VLOOKUP($E32,Scale!$A$2:$B$9,2,FALSE),"")</f>
        <v/>
      </c>
      <c r="G32" s="34">
        <f>IF($E32="",0,$F32*$D32)</f>
        <v/>
      </c>
    </row>
    <row r="33">
      <c r="A33" s="27" t="inlineStr">
        <is>
          <t>2/2</t>
        </is>
      </c>
      <c r="B33" s="27" t="inlineStr">
        <is>
          <t>ECO2124</t>
        </is>
      </c>
      <c r="C33" s="32" t="inlineStr">
        <is>
          <t>ทฤษฎีมหภาค 2</t>
        </is>
      </c>
      <c r="D33" s="27" t="n">
        <v>3</v>
      </c>
      <c r="E33" s="33" t="n"/>
      <c r="F33" s="34">
        <f>IFERROR(VLOOKUP($E33,Scale!$A$2:$B$9,2,FALSE),"")</f>
        <v/>
      </c>
      <c r="G33" s="34">
        <f>IF($E33="",0,$F33*$D33)</f>
        <v/>
      </c>
    </row>
    <row r="34">
      <c r="A34" s="27" t="inlineStr">
        <is>
          <t>2/2</t>
        </is>
      </c>
      <c r="B34" s="27" t="inlineStr">
        <is>
          <t>ECO2126</t>
        </is>
      </c>
      <c r="C34" s="32" t="inlineStr">
        <is>
          <t>สถิติสำหรับเศรษฐศาสตร์</t>
        </is>
      </c>
      <c r="D34" s="27" t="n">
        <v>3</v>
      </c>
      <c r="E34" s="33" t="n"/>
      <c r="F34" s="34">
        <f>IFERROR(VLOOKUP($E34,Scale!$A$2:$B$9,2,FALSE),"")</f>
        <v/>
      </c>
      <c r="G34" s="34">
        <f>IF($E34="",0,$F34*$D34)</f>
        <v/>
      </c>
    </row>
    <row r="35">
      <c r="A35" s="27" t="inlineStr">
        <is>
          <t>2/2</t>
        </is>
      </c>
      <c r="B35" s="27" t="inlineStr">
        <is>
          <t>MTH2104</t>
        </is>
      </c>
      <c r="C35" s="32" t="inlineStr">
        <is>
          <t>Advanced Calculus 1</t>
        </is>
      </c>
      <c r="D35" s="27" t="n">
        <v>3</v>
      </c>
      <c r="E35" s="33" t="n"/>
      <c r="F35" s="34">
        <f>IFERROR(VLOOKUP($E35,Scale!$A$2:$B$9,2,FALSE),"")</f>
        <v/>
      </c>
      <c r="G35" s="34">
        <f>IF($E35="",0,$F35*$D35)</f>
        <v/>
      </c>
    </row>
    <row r="36">
      <c r="A36" s="27" t="inlineStr">
        <is>
          <t>2/2</t>
        </is>
      </c>
      <c r="B36" s="27" t="inlineStr">
        <is>
          <t>MTH3204</t>
        </is>
      </c>
      <c r="C36" s="32" t="inlineStr">
        <is>
          <t>Matrix Theory &amp; Linear Algebra 2</t>
        </is>
      </c>
      <c r="D36" s="27" t="n">
        <v>3</v>
      </c>
      <c r="E36" s="33" t="n"/>
      <c r="F36" s="34">
        <f>IFERROR(VLOOKUP($E36,Scale!$A$2:$B$9,2,FALSE),"")</f>
        <v/>
      </c>
      <c r="G36" s="34">
        <f>IF($E36="",0,$F36*$D36)</f>
        <v/>
      </c>
    </row>
    <row r="37">
      <c r="A37" s="27" t="inlineStr">
        <is>
          <t>2/2</t>
        </is>
      </c>
      <c r="B37" s="27" t="inlineStr">
        <is>
          <t>ACC2202</t>
        </is>
      </c>
      <c r="C37" s="32" t="inlineStr">
        <is>
          <t>Intermediate Accounting</t>
        </is>
      </c>
      <c r="D37" s="27" t="n">
        <v>3</v>
      </c>
      <c r="E37" s="33" t="n"/>
      <c r="F37" s="34">
        <f>IFERROR(VLOOKUP($E37,Scale!$A$2:$B$9,2,FALSE),"")</f>
        <v/>
      </c>
      <c r="G37" s="34">
        <f>IF($E37="",0,$F37*$D37)</f>
        <v/>
      </c>
    </row>
    <row r="38">
      <c r="A38" s="27" t="inlineStr">
        <is>
          <t>2/2</t>
        </is>
      </c>
      <c r="B38" s="27" t="inlineStr">
        <is>
          <t>FIN2202</t>
        </is>
      </c>
      <c r="C38" s="32" t="inlineStr">
        <is>
          <t>Financial Institutions &amp; Markets</t>
        </is>
      </c>
      <c r="D38" s="27" t="n">
        <v>3</v>
      </c>
      <c r="E38" s="33" t="n"/>
      <c r="F38" s="34">
        <f>IFERROR(VLOOKUP($E38,Scale!$A$2:$B$9,2,FALSE),"")</f>
        <v/>
      </c>
      <c r="G38" s="34">
        <f>IF($E38="",0,$F38*$D38)</f>
        <v/>
      </c>
    </row>
    <row r="39">
      <c r="A39" s="27" t="inlineStr">
        <is>
          <t>2/S</t>
        </is>
      </c>
      <c r="B39" s="27" t="inlineStr">
        <is>
          <t>RAM1141</t>
        </is>
      </c>
      <c r="C39" s="32" t="inlineStr">
        <is>
          <t>ศาสตร์แห่งบุคลิกภาพ</t>
        </is>
      </c>
      <c r="D39" s="27" t="n">
        <v>3</v>
      </c>
      <c r="E39" s="33" t="n"/>
      <c r="F39" s="34">
        <f>IFERROR(VLOOKUP($E39,Scale!$A$2:$B$9,2,FALSE),"")</f>
        <v/>
      </c>
      <c r="G39" s="34">
        <f>IF($E39="",0,$F39*$D39)</f>
        <v/>
      </c>
    </row>
    <row r="40">
      <c r="A40" s="27" t="inlineStr">
        <is>
          <t>2/S</t>
        </is>
      </c>
      <c r="B40" s="27" t="inlineStr">
        <is>
          <t>RAM1204</t>
        </is>
      </c>
      <c r="C40" s="32" t="inlineStr">
        <is>
          <t>Mathematics &amp; Statistics for Daily Life</t>
        </is>
      </c>
      <c r="D40" s="27" t="n">
        <v>3</v>
      </c>
      <c r="E40" s="33" t="n"/>
      <c r="F40" s="34">
        <f>IFERROR(VLOOKUP($E40,Scale!$A$2:$B$9,2,FALSE),"")</f>
        <v/>
      </c>
      <c r="G40" s="34">
        <f>IF($E40="",0,$F40*$D40)</f>
        <v/>
      </c>
    </row>
    <row r="41">
      <c r="A41" s="27" t="inlineStr">
        <is>
          <t>2/S</t>
        </is>
      </c>
      <c r="B41" s="27" t="inlineStr">
        <is>
          <t>RAM1302</t>
        </is>
      </c>
      <c r="C41" s="32" t="inlineStr">
        <is>
          <t>Politics and Law in Daily Life</t>
        </is>
      </c>
      <c r="D41" s="27" t="n">
        <v>3</v>
      </c>
      <c r="E41" s="33" t="n"/>
      <c r="F41" s="34">
        <f>IFERROR(VLOOKUP($E41,Scale!$A$2:$B$9,2,FALSE),"")</f>
        <v/>
      </c>
      <c r="G41" s="34">
        <f>IF($E41="",0,$F41*$D41)</f>
        <v/>
      </c>
    </row>
    <row r="42">
      <c r="A42" s="27" t="inlineStr">
        <is>
          <t>3/1</t>
        </is>
      </c>
      <c r="B42" s="27" t="inlineStr">
        <is>
          <t>ECO3121</t>
        </is>
      </c>
      <c r="C42" s="32" t="inlineStr">
        <is>
          <t>เศรษฐศาสตร์จุลภาคระดับสูง</t>
        </is>
      </c>
      <c r="D42" s="27" t="n">
        <v>3</v>
      </c>
      <c r="E42" s="33" t="n"/>
      <c r="F42" s="34">
        <f>IFERROR(VLOOKUP($E42,Scale!$A$2:$B$9,2,FALSE),"")</f>
        <v/>
      </c>
      <c r="G42" s="34">
        <f>IF($E42="",0,$F42*$D42)</f>
        <v/>
      </c>
    </row>
    <row r="43">
      <c r="A43" s="27" t="inlineStr">
        <is>
          <t>3/1</t>
        </is>
      </c>
      <c r="B43" s="27" t="inlineStr">
        <is>
          <t>ECO3123</t>
        </is>
      </c>
      <c r="C43" s="32" t="inlineStr">
        <is>
          <t>เศรษฐมิติเบื้องต้น</t>
        </is>
      </c>
      <c r="D43" s="27" t="n">
        <v>3</v>
      </c>
      <c r="E43" s="33" t="n"/>
      <c r="F43" s="34">
        <f>IFERROR(VLOOKUP($E43,Scale!$A$2:$B$9,2,FALSE),"")</f>
        <v/>
      </c>
      <c r="G43" s="34">
        <f>IF($E43="",0,$F43*$D43)</f>
        <v/>
      </c>
    </row>
    <row r="44">
      <c r="A44" s="27" t="inlineStr">
        <is>
          <t>3/1</t>
        </is>
      </c>
      <c r="B44" s="27" t="inlineStr">
        <is>
          <t>ECO3320</t>
        </is>
      </c>
      <c r="C44" s="32" t="inlineStr">
        <is>
          <t>เศรษฐศาสตร์การเงินและการธนาคาร</t>
        </is>
      </c>
      <c r="D44" s="27" t="n">
        <v>3</v>
      </c>
      <c r="E44" s="33" t="n"/>
      <c r="F44" s="34">
        <f>IFERROR(VLOOKUP($E44,Scale!$A$2:$B$9,2,FALSE),"")</f>
        <v/>
      </c>
      <c r="G44" s="34">
        <f>IF($E44="",0,$F44*$D44)</f>
        <v/>
      </c>
    </row>
    <row r="45">
      <c r="A45" s="27" t="inlineStr">
        <is>
          <t>3/1</t>
        </is>
      </c>
      <c r="B45" s="27" t="inlineStr">
        <is>
          <t>MTH2106</t>
        </is>
      </c>
      <c r="C45" s="32" t="inlineStr">
        <is>
          <t>Differential Equations</t>
        </is>
      </c>
      <c r="D45" s="27" t="n">
        <v>3</v>
      </c>
      <c r="E45" s="33" t="n"/>
      <c r="F45" s="34">
        <f>IFERROR(VLOOKUP($E45,Scale!$A$2:$B$9,2,FALSE),"")</f>
        <v/>
      </c>
      <c r="G45" s="34">
        <f>IF($E45="",0,$F45*$D45)</f>
        <v/>
      </c>
    </row>
    <row r="46">
      <c r="A46" s="27" t="inlineStr">
        <is>
          <t>3/1</t>
        </is>
      </c>
      <c r="B46" s="27" t="inlineStr">
        <is>
          <t>STA3102</t>
        </is>
      </c>
      <c r="C46" s="32" t="inlineStr">
        <is>
          <t>Probability Theory 2</t>
        </is>
      </c>
      <c r="D46" s="27" t="n">
        <v>3</v>
      </c>
      <c r="E46" s="33" t="n"/>
      <c r="F46" s="34">
        <f>IFERROR(VLOOKUP($E46,Scale!$A$2:$B$9,2,FALSE),"")</f>
        <v/>
      </c>
      <c r="G46" s="34">
        <f>IF($E46="",0,$F46*$D46)</f>
        <v/>
      </c>
    </row>
    <row r="47">
      <c r="A47" s="27" t="inlineStr">
        <is>
          <t>3/1</t>
        </is>
      </c>
      <c r="B47" s="27" t="inlineStr">
        <is>
          <t>ECO2130</t>
        </is>
      </c>
      <c r="C47" s="32" t="inlineStr">
        <is>
          <t>English for Economics</t>
        </is>
      </c>
      <c r="D47" s="27" t="n">
        <v>3</v>
      </c>
      <c r="E47" s="33" t="n"/>
      <c r="F47" s="34">
        <f>IFERROR(VLOOKUP($E47,Scale!$A$2:$B$9,2,FALSE),"")</f>
        <v/>
      </c>
      <c r="G47" s="34">
        <f>IF($E47="",0,$F47*$D47)</f>
        <v/>
      </c>
    </row>
    <row r="48">
      <c r="A48" s="27" t="inlineStr">
        <is>
          <t>3/1</t>
        </is>
      </c>
      <c r="B48" s="27" t="inlineStr">
        <is>
          <t>FIN2101</t>
        </is>
      </c>
      <c r="C48" s="32" t="inlineStr">
        <is>
          <t>Business Finance</t>
        </is>
      </c>
      <c r="D48" s="27" t="n">
        <v>3</v>
      </c>
      <c r="E48" s="33" t="n"/>
      <c r="F48" s="34">
        <f>IFERROR(VLOOKUP($E48,Scale!$A$2:$B$9,2,FALSE),"")</f>
        <v/>
      </c>
      <c r="G48" s="34">
        <f>IF($E48="",0,$F48*$D48)</f>
        <v/>
      </c>
    </row>
    <row r="49">
      <c r="A49" s="27" t="inlineStr">
        <is>
          <t>3/2</t>
        </is>
      </c>
      <c r="B49" s="27" t="inlineStr">
        <is>
          <t>ECO3122</t>
        </is>
      </c>
      <c r="C49" s="32" t="inlineStr">
        <is>
          <t>เศรษฐศาสตร์มหภาคระดับสูง</t>
        </is>
      </c>
      <c r="D49" s="27" t="n">
        <v>3</v>
      </c>
      <c r="E49" s="33" t="n"/>
      <c r="F49" s="34">
        <f>IFERROR(VLOOKUP($E49,Scale!$A$2:$B$9,2,FALSE),"")</f>
        <v/>
      </c>
      <c r="G49" s="34">
        <f>IF($E49="",0,$F49*$D49)</f>
        <v/>
      </c>
    </row>
    <row r="50">
      <c r="A50" s="27" t="inlineStr">
        <is>
          <t>3/2</t>
        </is>
      </c>
      <c r="B50" s="27" t="inlineStr">
        <is>
          <t>ECO3323</t>
        </is>
      </c>
      <c r="C50" s="32" t="inlineStr">
        <is>
          <t>การบริหารความเสี่ยงองค์กร</t>
        </is>
      </c>
      <c r="D50" s="27" t="n">
        <v>3</v>
      </c>
      <c r="E50" s="33" t="n"/>
      <c r="F50" s="34">
        <f>IFERROR(VLOOKUP($E50,Scale!$A$2:$B$9,2,FALSE),"")</f>
        <v/>
      </c>
      <c r="G50" s="34">
        <f>IF($E50="",0,$F50*$D50)</f>
        <v/>
      </c>
    </row>
    <row r="51">
      <c r="A51" s="27" t="inlineStr">
        <is>
          <t>3/2</t>
        </is>
      </c>
      <c r="B51" s="27" t="inlineStr">
        <is>
          <t>ECO2128</t>
        </is>
      </c>
      <c r="C51" s="32" t="inlineStr">
        <is>
          <t>ระเบียบวิธีวิจัยทางเศรษฐศาสตร์</t>
        </is>
      </c>
      <c r="D51" s="27" t="n">
        <v>3</v>
      </c>
      <c r="E51" s="33" t="n"/>
      <c r="F51" s="34">
        <f>IFERROR(VLOOKUP($E51,Scale!$A$2:$B$9,2,FALSE),"")</f>
        <v/>
      </c>
      <c r="G51" s="34">
        <f>IF($E51="",0,$F51*$D51)</f>
        <v/>
      </c>
    </row>
    <row r="52">
      <c r="A52" s="27" t="inlineStr">
        <is>
          <t>3/2</t>
        </is>
      </c>
      <c r="B52" s="27" t="inlineStr">
        <is>
          <t>MTH4404</t>
        </is>
      </c>
      <c r="C52" s="32" t="inlineStr">
        <is>
          <t>Introduction to Real Analysis 1</t>
        </is>
      </c>
      <c r="D52" s="27" t="n">
        <v>3</v>
      </c>
      <c r="E52" s="33" t="n"/>
      <c r="F52" s="34">
        <f>IFERROR(VLOOKUP($E52,Scale!$A$2:$B$9,2,FALSE),"")</f>
        <v/>
      </c>
      <c r="G52" s="34">
        <f>IF($E52="",0,$F52*$D52)</f>
        <v/>
      </c>
    </row>
    <row r="53">
      <c r="A53" s="27" t="inlineStr">
        <is>
          <t>3/2</t>
        </is>
      </c>
      <c r="B53" s="27" t="inlineStr">
        <is>
          <t>ACC4209</t>
        </is>
      </c>
      <c r="C53" s="32" t="inlineStr">
        <is>
          <t>Financial Reporting &amp; Analysis</t>
        </is>
      </c>
      <c r="D53" s="27" t="n">
        <v>3</v>
      </c>
      <c r="E53" s="33" t="n"/>
      <c r="F53" s="34">
        <f>IFERROR(VLOOKUP($E53,Scale!$A$2:$B$9,2,FALSE),"")</f>
        <v/>
      </c>
      <c r="G53" s="34">
        <f>IF($E53="",0,$F53*$D53)</f>
        <v/>
      </c>
    </row>
    <row r="54">
      <c r="A54" s="27" t="inlineStr">
        <is>
          <t>3/2</t>
        </is>
      </c>
      <c r="B54" s="27" t="inlineStr">
        <is>
          <t>SDM2102</t>
        </is>
      </c>
      <c r="C54" s="32" t="inlineStr">
        <is>
          <t>Foundations of Python Programming</t>
        </is>
      </c>
      <c r="D54" s="27" t="n">
        <v>3</v>
      </c>
      <c r="E54" s="33" t="n"/>
      <c r="F54" s="34">
        <f>IFERROR(VLOOKUP($E54,Scale!$A$2:$B$9,2,FALSE),"")</f>
        <v/>
      </c>
      <c r="G54" s="34">
        <f>IF($E54="",0,$F54*$D54)</f>
        <v/>
      </c>
    </row>
    <row r="55">
      <c r="A55" s="27" t="inlineStr">
        <is>
          <t>3/2</t>
        </is>
      </c>
      <c r="B55" s="27" t="inlineStr">
        <is>
          <t>STA3504</t>
        </is>
      </c>
      <c r="C55" s="32" t="inlineStr">
        <is>
          <t>Math Models for Investment Decision</t>
        </is>
      </c>
      <c r="D55" s="27" t="n">
        <v>3</v>
      </c>
      <c r="E55" s="33" t="n"/>
      <c r="F55" s="34">
        <f>IFERROR(VLOOKUP($E55,Scale!$A$2:$B$9,2,FALSE),"")</f>
        <v/>
      </c>
      <c r="G55" s="34">
        <f>IF($E55="",0,$F55*$D55)</f>
        <v/>
      </c>
    </row>
    <row r="56">
      <c r="A56" s="27" t="inlineStr">
        <is>
          <t>3/S</t>
        </is>
      </c>
      <c r="B56" s="27" t="inlineStr">
        <is>
          <t>RAM1112</t>
        </is>
      </c>
      <c r="C56" s="32" t="inlineStr">
        <is>
          <t>ภาษาและวัฒนธรรมอังกฤษ</t>
        </is>
      </c>
      <c r="D56" s="27" t="n">
        <v>3</v>
      </c>
      <c r="E56" s="33" t="n"/>
      <c r="F56" s="34">
        <f>IFERROR(VLOOKUP($E56,Scale!$A$2:$B$9,2,FALSE),"")</f>
        <v/>
      </c>
      <c r="G56" s="34">
        <f>IF($E56="",0,$F56*$D56)</f>
        <v/>
      </c>
    </row>
    <row r="57">
      <c r="A57" s="27" t="inlineStr">
        <is>
          <t>3/S</t>
        </is>
      </c>
      <c r="B57" s="27" t="inlineStr">
        <is>
          <t>RAM1211</t>
        </is>
      </c>
      <c r="C57" s="32" t="inlineStr">
        <is>
          <t>Principles of Entrepreneurship</t>
        </is>
      </c>
      <c r="D57" s="27" t="n">
        <v>3</v>
      </c>
      <c r="E57" s="33" t="n"/>
      <c r="F57" s="34">
        <f>IFERROR(VLOOKUP($E57,Scale!$A$2:$B$9,2,FALSE),"")</f>
        <v/>
      </c>
      <c r="G57" s="34">
        <f>IF($E57="",0,$F57*$D57)</f>
        <v/>
      </c>
    </row>
    <row r="58">
      <c r="A58" s="27" t="inlineStr">
        <is>
          <t>3/S</t>
        </is>
      </c>
      <c r="B58" s="27" t="inlineStr">
        <is>
          <t>RAM1312</t>
        </is>
      </c>
      <c r="C58" s="32" t="inlineStr">
        <is>
          <t>Contemporary Culture &amp; Digital Disruption</t>
        </is>
      </c>
      <c r="D58" s="27" t="n">
        <v>3</v>
      </c>
      <c r="E58" s="33" t="n"/>
      <c r="F58" s="34">
        <f>IFERROR(VLOOKUP($E58,Scale!$A$2:$B$9,2,FALSE),"")</f>
        <v/>
      </c>
      <c r="G58" s="34">
        <f>IF($E58="",0,$F58*$D58)</f>
        <v/>
      </c>
    </row>
    <row r="59">
      <c r="A59" s="27" t="inlineStr">
        <is>
          <t>4/1</t>
        </is>
      </c>
      <c r="B59" s="27" t="inlineStr">
        <is>
          <t>ECO4124</t>
        </is>
      </c>
      <c r="C59" s="32" t="inlineStr">
        <is>
          <t>Time-Series Econometrics</t>
        </is>
      </c>
      <c r="D59" s="27" t="n">
        <v>3</v>
      </c>
      <c r="E59" s="33" t="n"/>
      <c r="F59" s="34">
        <f>IFERROR(VLOOKUP($E59,Scale!$A$2:$B$9,2,FALSE),"")</f>
        <v/>
      </c>
      <c r="G59" s="34">
        <f>IF($E59="",0,$F59*$D59)</f>
        <v/>
      </c>
    </row>
    <row r="60">
      <c r="A60" s="27" t="inlineStr">
        <is>
          <t>4/1</t>
        </is>
      </c>
      <c r="B60" s="27" t="inlineStr">
        <is>
          <t>ECO4125</t>
        </is>
      </c>
      <c r="C60" s="32" t="inlineStr">
        <is>
          <t>Microeconometrics</t>
        </is>
      </c>
      <c r="D60" s="27" t="n">
        <v>3</v>
      </c>
      <c r="E60" s="33" t="n"/>
      <c r="F60" s="34">
        <f>IFERROR(VLOOKUP($E60,Scale!$A$2:$B$9,2,FALSE),"")</f>
        <v/>
      </c>
      <c r="G60" s="34">
        <f>IF($E60="",0,$F60*$D60)</f>
        <v/>
      </c>
    </row>
    <row r="61">
      <c r="A61" s="27" t="inlineStr">
        <is>
          <t>4/1</t>
        </is>
      </c>
      <c r="B61" s="27" t="inlineStr">
        <is>
          <t>ECO4326</t>
        </is>
      </c>
      <c r="C61" s="32" t="inlineStr">
        <is>
          <t>Mathematical Finance</t>
        </is>
      </c>
      <c r="D61" s="27" t="n">
        <v>3</v>
      </c>
      <c r="E61" s="33" t="n"/>
      <c r="F61" s="34">
        <f>IFERROR(VLOOKUP($E61,Scale!$A$2:$B$9,2,FALSE),"")</f>
        <v/>
      </c>
      <c r="G61" s="34">
        <f>IF($E61="",0,$F61*$D61)</f>
        <v/>
      </c>
    </row>
    <row r="62">
      <c r="A62" s="27" t="inlineStr">
        <is>
          <t>4/1</t>
        </is>
      </c>
      <c r="B62" s="27" t="inlineStr">
        <is>
          <t>MTH3611</t>
        </is>
      </c>
      <c r="C62" s="32" t="inlineStr">
        <is>
          <t>Mathematical Stochastic Models</t>
        </is>
      </c>
      <c r="D62" s="27" t="n">
        <v>3</v>
      </c>
      <c r="E62" s="33" t="n"/>
      <c r="F62" s="34">
        <f>IFERROR(VLOOKUP($E62,Scale!$A$2:$B$9,2,FALSE),"")</f>
        <v/>
      </c>
      <c r="G62" s="34">
        <f>IF($E62="",0,$F62*$D62)</f>
        <v/>
      </c>
    </row>
    <row r="63">
      <c r="A63" s="27" t="inlineStr">
        <is>
          <t>4/1</t>
        </is>
      </c>
      <c r="B63" s="27" t="inlineStr">
        <is>
          <t>FIN3211</t>
        </is>
      </c>
      <c r="C63" s="32" t="inlineStr">
        <is>
          <t>Financial Management (Corp Finance)</t>
        </is>
      </c>
      <c r="D63" s="27" t="n">
        <v>3</v>
      </c>
      <c r="E63" s="33" t="n"/>
      <c r="F63" s="34">
        <f>IFERROR(VLOOKUP($E63,Scale!$A$2:$B$9,2,FALSE),"")</f>
        <v/>
      </c>
      <c r="G63" s="34">
        <f>IF($E63="",0,$F63*$D63)</f>
        <v/>
      </c>
    </row>
    <row r="64">
      <c r="A64" s="27" t="inlineStr">
        <is>
          <t>4/1</t>
        </is>
      </c>
      <c r="B64" s="27" t="inlineStr">
        <is>
          <t>FIN3210</t>
        </is>
      </c>
      <c r="C64" s="32" t="inlineStr">
        <is>
          <t>Quantitative Analysis in Finance</t>
        </is>
      </c>
      <c r="D64" s="27" t="n">
        <v>3</v>
      </c>
      <c r="E64" s="33" t="n"/>
      <c r="F64" s="34">
        <f>IFERROR(VLOOKUP($E64,Scale!$A$2:$B$9,2,FALSE),"")</f>
        <v/>
      </c>
      <c r="G64" s="34">
        <f>IF($E64="",0,$F64*$D64)</f>
        <v/>
      </c>
    </row>
    <row r="65">
      <c r="A65" s="27" t="inlineStr">
        <is>
          <t>4/2</t>
        </is>
      </c>
      <c r="B65" s="27" t="inlineStr">
        <is>
          <t>ECO4123</t>
        </is>
      </c>
      <c r="C65" s="32" t="inlineStr">
        <is>
          <t>Game Theory (ทฤษฎีเกม)</t>
        </is>
      </c>
      <c r="D65" s="27" t="n">
        <v>3</v>
      </c>
      <c r="E65" s="33" t="n"/>
      <c r="F65" s="34">
        <f>IFERROR(VLOOKUP($E65,Scale!$A$2:$B$9,2,FALSE),"")</f>
        <v/>
      </c>
      <c r="G65" s="34">
        <f>IF($E65="",0,$F65*$D65)</f>
        <v/>
      </c>
    </row>
    <row r="66">
      <c r="A66" s="27" t="inlineStr">
        <is>
          <t>4/2</t>
        </is>
      </c>
      <c r="B66" s="27" t="inlineStr">
        <is>
          <t>ECO4327</t>
        </is>
      </c>
      <c r="C66" s="32" t="inlineStr">
        <is>
          <t>Financial Risk Mgmt &amp; Derivatives</t>
        </is>
      </c>
      <c r="D66" s="27" t="n">
        <v>3</v>
      </c>
      <c r="E66" s="33" t="n"/>
      <c r="F66" s="34">
        <f>IFERROR(VLOOKUP($E66,Scale!$A$2:$B$9,2,FALSE),"")</f>
        <v/>
      </c>
      <c r="G66" s="34">
        <f>IF($E66="",0,$F66*$D66)</f>
        <v/>
      </c>
    </row>
    <row r="67">
      <c r="A67" s="27" t="inlineStr">
        <is>
          <t>4/2</t>
        </is>
      </c>
      <c r="B67" s="27" t="inlineStr">
        <is>
          <t>FIN3209</t>
        </is>
      </c>
      <c r="C67" s="32" t="inlineStr">
        <is>
          <t>Securities Analysis</t>
        </is>
      </c>
      <c r="D67" s="27" t="n">
        <v>3</v>
      </c>
      <c r="E67" s="33" t="n"/>
      <c r="F67" s="34">
        <f>IFERROR(VLOOKUP($E67,Scale!$A$2:$B$9,2,FALSE),"")</f>
        <v/>
      </c>
      <c r="G67" s="34">
        <f>IF($E67="",0,$F67*$D67)</f>
        <v/>
      </c>
    </row>
    <row r="68">
      <c r="A68" s="27" t="inlineStr">
        <is>
          <t>4/2</t>
        </is>
      </c>
      <c r="B68" s="27" t="inlineStr">
        <is>
          <t>FIN3205</t>
        </is>
      </c>
      <c r="C68" s="32" t="inlineStr">
        <is>
          <t>Principles &amp; Policies of Investment</t>
        </is>
      </c>
      <c r="D68" s="27" t="n">
        <v>3</v>
      </c>
      <c r="E68" s="33" t="n"/>
      <c r="F68" s="34">
        <f>IFERROR(VLOOKUP($E68,Scale!$A$2:$B$9,2,FALSE),"")</f>
        <v/>
      </c>
      <c r="G68" s="34">
        <f>IF($E68="",0,$F68*$D68)</f>
        <v/>
      </c>
    </row>
    <row r="69">
      <c r="A69" s="27" t="inlineStr">
        <is>
          <t>4/2</t>
        </is>
      </c>
      <c r="B69" s="27" t="inlineStr">
        <is>
          <t>STA4101</t>
        </is>
      </c>
      <c r="C69" s="32" t="inlineStr">
        <is>
          <t>Theory of Statistics 1</t>
        </is>
      </c>
      <c r="D69" s="27" t="n">
        <v>3</v>
      </c>
      <c r="E69" s="33" t="n"/>
      <c r="F69" s="34">
        <f>IFERROR(VLOOKUP($E69,Scale!$A$2:$B$9,2,FALSE),"")</f>
        <v/>
      </c>
      <c r="G69" s="34">
        <f>IF($E69="",0,$F69*$D69)</f>
        <v/>
      </c>
    </row>
    <row r="70">
      <c r="A70" s="27" t="inlineStr">
        <is>
          <t>4/2</t>
        </is>
      </c>
      <c r="B70" s="27" t="inlineStr">
        <is>
          <t>STA4309</t>
        </is>
      </c>
      <c r="C70" s="32" t="inlineStr">
        <is>
          <t>Statistical Forecasting Methods</t>
        </is>
      </c>
      <c r="D70" s="27" t="n">
        <v>3</v>
      </c>
      <c r="E70" s="33" t="n"/>
      <c r="F70" s="34">
        <f>IFERROR(VLOOKUP($E70,Scale!$A$2:$B$9,2,FALSE),"")</f>
        <v/>
      </c>
      <c r="G70" s="34">
        <f>IF($E70="",0,$F70*$D70)</f>
        <v/>
      </c>
    </row>
    <row r="71">
      <c r="A71" s="32" t="n"/>
      <c r="B71" s="32" t="n"/>
      <c r="C71" s="32" t="n"/>
      <c r="D71" s="32" t="n"/>
      <c r="E71" s="33" t="n"/>
      <c r="F71" s="27">
        <f>IFERROR(VLOOKUP($E71,Scale!$A$2:$B$9,2,FALSE),"")</f>
        <v/>
      </c>
      <c r="G71" s="27">
        <f>IF($E71="",0,$F71*$D71)</f>
        <v/>
      </c>
    </row>
    <row r="72">
      <c r="A72" s="32" t="n"/>
      <c r="B72" s="32" t="n"/>
      <c r="C72" s="32" t="n"/>
      <c r="D72" s="32" t="n"/>
      <c r="E72" s="33" t="n"/>
      <c r="F72" s="27">
        <f>IFERROR(VLOOKUP($E72,Scale!$A$2:$B$9,2,FALSE),"")</f>
        <v/>
      </c>
      <c r="G72" s="27">
        <f>IF($E72="",0,$F72*$D72)</f>
        <v/>
      </c>
    </row>
    <row r="73">
      <c r="A73" s="32" t="n"/>
      <c r="B73" s="32" t="n"/>
      <c r="C73" s="32" t="n"/>
      <c r="D73" s="32" t="n"/>
      <c r="E73" s="33" t="n"/>
      <c r="F73" s="27">
        <f>IFERROR(VLOOKUP($E73,Scale!$A$2:$B$9,2,FALSE),"")</f>
        <v/>
      </c>
      <c r="G73" s="27">
        <f>IF($E73="",0,$F73*$D73)</f>
        <v/>
      </c>
    </row>
    <row r="74">
      <c r="A74" s="32" t="n"/>
      <c r="B74" s="32" t="n"/>
      <c r="C74" s="32" t="n"/>
      <c r="D74" s="32" t="n"/>
      <c r="E74" s="33" t="n"/>
      <c r="F74" s="27">
        <f>IFERROR(VLOOKUP($E74,Scale!$A$2:$B$9,2,FALSE),"")</f>
        <v/>
      </c>
      <c r="G74" s="27">
        <f>IF($E74="",0,$F74*$D74)</f>
        <v/>
      </c>
    </row>
    <row r="75">
      <c r="A75" s="32" t="n"/>
      <c r="B75" s="32" t="n"/>
      <c r="C75" s="32" t="n"/>
      <c r="D75" s="32" t="n"/>
      <c r="E75" s="33" t="n"/>
      <c r="F75" s="27">
        <f>IFERROR(VLOOKUP($E75,Scale!$A$2:$B$9,2,FALSE),"")</f>
        <v/>
      </c>
      <c r="G75" s="27">
        <f>IF($E75="",0,$F75*$D75)</f>
        <v/>
      </c>
    </row>
    <row r="76">
      <c r="A76" s="6" t="n"/>
      <c r="B76" s="6" t="n"/>
      <c r="C76" s="35" t="inlineStr">
        <is>
          <t>รวม</t>
        </is>
      </c>
      <c r="D76" s="36">
        <f>SUM($D$10:$D$75)</f>
        <v/>
      </c>
      <c r="E76" s="6" t="n"/>
      <c r="F76" s="6" t="n"/>
      <c r="G76" s="37">
        <f>SUM($G$10:$G$75)</f>
        <v/>
      </c>
    </row>
  </sheetData>
  <mergeCells count="14">
    <mergeCell ref="E6:F6"/>
    <mergeCell ref="A1:G1"/>
    <mergeCell ref="C6:D6"/>
    <mergeCell ref="A7:B7"/>
    <mergeCell ref="C7:D7"/>
    <mergeCell ref="E7:F7"/>
    <mergeCell ref="A8:G8"/>
    <mergeCell ref="C5:D5"/>
    <mergeCell ref="A5:B5"/>
    <mergeCell ref="A4:G4"/>
    <mergeCell ref="E5:F5"/>
    <mergeCell ref="A2:G2"/>
    <mergeCell ref="I4:K4"/>
    <mergeCell ref="A6:B6"/>
  </mergeCells>
  <conditionalFormatting sqref="E10:E75">
    <cfRule type="cellIs" priority="1" operator="equal" dxfId="0">
      <formula>"A"</formula>
    </cfRule>
    <cfRule type="cellIs" priority="2" operator="equal" dxfId="0">
      <formula>"B+"</formula>
    </cfRule>
    <cfRule type="cellIs" priority="3" operator="equal" dxfId="1">
      <formula>"D"</formula>
    </cfRule>
    <cfRule type="cellIs" priority="4" operator="equal" dxfId="1">
      <formula>"D+"</formula>
    </cfRule>
    <cfRule type="cellIs" priority="5" operator="equal" dxfId="2">
      <formula>"F"</formula>
    </cfRule>
  </conditionalFormatting>
  <conditionalFormatting sqref="J6:J16">
    <cfRule type="colorScale" priority="6">
      <colorScale>
        <cfvo type="num" val="0"/>
        <cfvo type="num" val="2"/>
        <cfvo type="num" val="4"/>
        <color rgb="00F8696B"/>
        <color rgb="00FFEB84"/>
        <color rgb="0063BE7B"/>
      </colorScale>
    </cfRule>
  </conditionalFormatting>
  <dataValidations count="1">
    <dataValidation sqref="E10:E75" showDropDown="0" showInputMessage="0" showErrorMessage="0" allowBlank="1" type="list">
      <formula1>"A,B+,B,C+,C,D+,D,F"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8" customWidth="1" min="3" max="3"/>
    <col width="30" customWidth="1" min="4" max="4"/>
    <col width="16" customWidth="1" min="5" max="5"/>
    <col width="6" customWidth="1" min="6" max="6"/>
  </cols>
  <sheetData>
    <row r="1" ht="24" customHeight="1">
      <c r="A1" s="1" t="inlineStr">
        <is>
          <t>เทียบเกณฑ์ GPAX กับการยื่น ป.โท Top-20 (QS) — โอกาส &amp; ความเสี่ยง</t>
        </is>
      </c>
    </row>
    <row r="2" ht="32" customHeight="1">
      <c r="A2" s="2" t="inlineStr">
        <is>
          <t>US ขั้นต่ำ ~3.0 (แข่งขัน 3.5–3.7) • elite quant avg ~3.7–3.8 (MIT MFin 3.7) • UK: 2:1≈3.3–3.6, First≈3.7–4.0 (LSE: 3.5=2:1; Oxford First=3.7)</t>
        </is>
      </c>
    </row>
    <row r="4">
      <c r="A4" s="38" t="inlineStr">
        <is>
          <t>① เกียรตินิยม → โอกาสยื่น Top-20 (แกน GPA)</t>
        </is>
      </c>
    </row>
    <row r="5">
      <c r="A5" s="3" t="inlineStr">
        <is>
          <t>เกียรตินิยม</t>
        </is>
      </c>
      <c r="B5" s="3" t="inlineStr">
        <is>
          <t>GPAX</t>
        </is>
      </c>
      <c r="C5" s="3" t="inlineStr">
        <is>
          <t>เทียบ UK/US</t>
        </is>
      </c>
      <c r="D5" s="3" t="inlineStr">
        <is>
          <t>โอกาส Top-20</t>
        </is>
      </c>
      <c r="E5" s="3" t="inlineStr">
        <is>
          <t>ความเสี่ยง</t>
        </is>
      </c>
      <c r="F5" s="39" t="n"/>
    </row>
    <row r="6" ht="26" customHeight="1">
      <c r="A6" s="26" t="inlineStr">
        <is>
          <t>เหรียญทอง</t>
        </is>
      </c>
      <c r="B6" s="27" t="inlineStr">
        <is>
          <t>≥3.80</t>
        </is>
      </c>
      <c r="C6" s="40" t="inlineStr">
        <is>
          <t>First (เกิน)</t>
        </is>
      </c>
      <c r="D6" s="40" t="inlineStr">
        <is>
          <t>แข่งได้แทบทุกที่</t>
        </is>
      </c>
      <c r="E6" s="10" t="inlineStr">
        <is>
          <t>🟢 ต่ำ</t>
        </is>
      </c>
      <c r="F6" s="41" t="n"/>
    </row>
    <row r="7" ht="26" customHeight="1">
      <c r="A7" s="26" t="inlineStr">
        <is>
          <t>อันดับ 1</t>
        </is>
      </c>
      <c r="B7" s="27" t="inlineStr">
        <is>
          <t>3.60–3.79</t>
        </is>
      </c>
      <c r="C7" s="40" t="inlineStr">
        <is>
          <t>First/high 2:1</t>
        </is>
      </c>
      <c r="D7" s="40" t="inlineStr">
        <is>
          <t>ดี–กลาง (Top-5 กลางๆ)</t>
        </is>
      </c>
      <c r="E7" s="15" t="inlineStr">
        <is>
          <t>🟡 กลาง</t>
        </is>
      </c>
      <c r="F7" s="42" t="n"/>
    </row>
    <row r="8" ht="26" customHeight="1">
      <c r="A8" s="26" t="inlineStr">
        <is>
          <t>อันดับ 2</t>
        </is>
      </c>
      <c r="B8" s="27" t="inlineStr">
        <is>
          <t>3.30–3.59</t>
        </is>
      </c>
      <c r="C8" s="40" t="inlineStr">
        <is>
          <t>2:1 (ผ่าน min)</t>
        </is>
      </c>
      <c r="D8" s="40" t="inlineStr">
        <is>
          <t>ต่ำกว่าค่าเฉลี่ยที่รับ</t>
        </is>
      </c>
      <c r="E8" s="16" t="inlineStr">
        <is>
          <t>🟠 สูง</t>
        </is>
      </c>
      <c r="F8" s="43" t="n"/>
    </row>
    <row r="9" ht="26" customHeight="1">
      <c r="A9" s="26" t="inlineStr">
        <is>
          <t>(ต่ำกว่า)</t>
        </is>
      </c>
      <c r="B9" s="27" t="inlineStr">
        <is>
          <t>&lt;3.30</t>
        </is>
      </c>
      <c r="C9" s="40" t="inlineStr">
        <is>
          <t>ต่ำกว่า 2:1</t>
        </is>
      </c>
      <c r="D9" s="40" t="inlineStr">
        <is>
          <t>ต่ำกว่าขั้นต่ำหลายที่</t>
        </is>
      </c>
      <c r="E9" s="22" t="inlineStr">
        <is>
          <t>🔴 สูงมาก</t>
        </is>
      </c>
      <c r="F9" s="44" t="n"/>
    </row>
    <row r="11">
      <c r="A11" s="38" t="inlineStr">
        <is>
          <t>② ปัจจัยสำคัญกว่า GPAX</t>
        </is>
      </c>
    </row>
    <row r="12" ht="26" customHeight="1">
      <c r="A12" s="45" t="inlineStr">
        <is>
          <t>• ม.ราม = non-target → GPA อ่านตามบริบทสถาบัน → ต้องทำ GPAX สูงกว่าค่าเฉลี่ยเพื่อชดเชย</t>
        </is>
      </c>
    </row>
    <row r="13" ht="26" customHeight="1">
      <c r="A13" s="45" t="inlineStr">
        <is>
          <t>• ตัวขยับผลจริง: GRE Quant 168–170 • เกรด A วิชาสัญญาณ (Real Analysis/Probability/Theory of Stats/Econometrics) • research/writing sample • LoR • predoc/RA</t>
        </is>
      </c>
    </row>
    <row r="14" ht="26" customHeight="1">
      <c r="A14" s="45" t="inlineStr">
        <is>
          <t>• GPAX สูง = 'จำเป็นแต่ไม่พอ' — ผ่านด่านคัดกรอง แต่ต้องมีแพ็กเกจครบจึงชนะ target school</t>
        </is>
      </c>
    </row>
    <row r="16">
      <c r="A16" s="38" t="inlineStr">
        <is>
          <t>③ สรุปความเสี่ยง (รวม brand ม.ราม)</t>
        </is>
      </c>
    </row>
    <row r="17" ht="26" customHeight="1">
      <c r="A17" s="46" t="inlineStr">
        <is>
          <t>เหรียญทอง (≥3.80): Top-20 แข่งได้จริง • Top-5 เอื้อมได้ถ้าโปรไฟล์เต็ม</t>
        </is>
      </c>
    </row>
    <row r="18" ht="26" customHeight="1">
      <c r="A18" s="47" t="inlineStr">
        <is>
          <t>อันดับ 1 (3.60–3.79): Top-20 ดี • Top-5 เสี่ยง ต้องชดเชยหนัก</t>
        </is>
      </c>
    </row>
    <row r="19" ht="26" customHeight="1">
      <c r="A19" s="48" t="inlineStr">
        <is>
          <t>อันดับ 2 (3.30–3.59): Top-20 เสี่ยงสูง • เล็งอันดับท้าย + ชดเชย GRE/research มาก</t>
        </is>
      </c>
    </row>
    <row r="21" ht="26" customHeight="1">
      <c r="A21" s="2" t="inlineStr">
        <is>
          <t>แหล่ง: research.com • LSE • Oxford • QuantNet/MIT MFin • เกณฑ์เปลี่ยนได้ ตรวจหน้าโปรแกรมก่อนสมัคร</t>
        </is>
      </c>
    </row>
  </sheetData>
  <mergeCells count="17">
    <mergeCell ref="A2:F2"/>
    <mergeCell ref="A11:F11"/>
    <mergeCell ref="A16:F16"/>
    <mergeCell ref="E6:F6"/>
    <mergeCell ref="A13:F13"/>
    <mergeCell ref="E7:F7"/>
    <mergeCell ref="A14:F14"/>
    <mergeCell ref="A19:F19"/>
    <mergeCell ref="A1:F1"/>
    <mergeCell ref="E5:F5"/>
    <mergeCell ref="A17:F17"/>
    <mergeCell ref="A12:F12"/>
    <mergeCell ref="A4:F4"/>
    <mergeCell ref="A18:F18"/>
    <mergeCell ref="A21:F21"/>
    <mergeCell ref="E9:F9"/>
    <mergeCell ref="E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เกรด</t>
        </is>
      </c>
      <c r="B1" t="inlineStr">
        <is>
          <t>แต้ม</t>
        </is>
      </c>
    </row>
    <row r="2">
      <c r="A2" t="inlineStr">
        <is>
          <t>A</t>
        </is>
      </c>
      <c r="B2" t="n">
        <v>4</v>
      </c>
    </row>
    <row r="3">
      <c r="A3" t="inlineStr">
        <is>
          <t>B+</t>
        </is>
      </c>
      <c r="B3" t="n">
        <v>3.5</v>
      </c>
    </row>
    <row r="4">
      <c r="A4" t="inlineStr">
        <is>
          <t>B</t>
        </is>
      </c>
      <c r="B4" t="n">
        <v>3</v>
      </c>
    </row>
    <row r="5">
      <c r="A5" t="inlineStr">
        <is>
          <t>C+</t>
        </is>
      </c>
      <c r="B5" t="n">
        <v>2.5</v>
      </c>
    </row>
    <row r="6">
      <c r="A6" t="inlineStr">
        <is>
          <t>C</t>
        </is>
      </c>
      <c r="B6" t="n">
        <v>2</v>
      </c>
    </row>
    <row r="7">
      <c r="A7" t="inlineStr">
        <is>
          <t>D+</t>
        </is>
      </c>
      <c r="B7" t="n">
        <v>1.5</v>
      </c>
    </row>
    <row r="8">
      <c r="A8" t="inlineStr">
        <is>
          <t>D</t>
        </is>
      </c>
      <c r="B8" t="n">
        <v>1</v>
      </c>
    </row>
    <row r="9">
      <c r="A9" t="inlineStr">
        <is>
          <t>F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2026-06-30T09:06:24Z</dcterms:created>
  <dcterms:modified xsi:type="dcterms:W3CDTF">2026-06-30T09:06:24Z</dcterms:modified>
</cp:coreProperties>
</file>