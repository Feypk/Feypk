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แผนเรียน v10" sheetId="1" state="visible" r:id="rId1"/>
    <sheet name="GPAX" sheetId="2" state="visible" r:id="rId2"/>
    <sheet name="เทียบ ป.โท Top-U" sheetId="3" state="visible" r:id="rId3"/>
    <sheet name="Scale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i val="1"/>
      <sz val="9"/>
    </font>
    <font>
      <name val="Tahoma"/>
      <b val="1"/>
      <color rgb="00FFFFFF"/>
      <sz val="10"/>
    </font>
    <font>
      <name val="Tahoma"/>
      <b val="1"/>
      <sz val="10"/>
    </font>
    <font>
      <name val="Tahoma"/>
      <sz val="10"/>
    </font>
    <font>
      <name val="Tahoma"/>
      <b val="1"/>
      <color rgb="00FFFFFF"/>
      <sz val="20"/>
    </font>
    <font>
      <name val="Tahoma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2E75B6"/>
      </patternFill>
    </fill>
    <fill>
      <patternFill patternType="solid">
        <fgColor rgb="00FFF9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2" fontId="6" fillId="13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2" fontId="4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5" fillId="1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/>
    </xf>
    <xf numFmtId="1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2" borderId="1" pivotButton="0" quotePrefix="0" xfId="0"/>
    <xf numFmtId="0" fontId="5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4B084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5" customWidth="1" min="4" max="4"/>
    <col width="8" customWidth="1" min="5" max="5"/>
    <col width="36" customWidth="1" min="6" max="6"/>
    <col width="22" customWidth="1" min="7" max="7"/>
    <col width="30" customWidth="1" min="8" max="8"/>
  </cols>
  <sheetData>
    <row r="1" ht="24" customHeight="1">
      <c r="A1" s="1" t="inlineStr">
        <is>
          <t>แผนการเรียน ป.ตรี เศรษฐศาสตร์ ม.รามคำแหง — Quant+Finance/IB (v12 รวม GPAX — แก้บุพวิชา)</t>
        </is>
      </c>
    </row>
    <row r="2" ht="22" customHeight="1">
      <c r="A2" s="2" t="inlineStr">
        <is>
          <t>v12: แก้ MTH3611 PR=STA2003 (เดิมใส่ผิด) • ตัด C++ (COS2102) ออก • เพิ่ม STA2003 (แก้ทั้ง ECO2126 &amp; MTH3611) • คง 168 นก./8 เทอม | ชีต GPAX=คำนวณเกรด, ชีต เทียบ ป.โท Top-U=โอกาสเรียนต่อ</t>
        </is>
      </c>
    </row>
    <row r="4">
      <c r="A4" s="3" t="inlineStr">
        <is>
          <t>✅</t>
        </is>
      </c>
      <c r="B4" s="3" t="inlineStr">
        <is>
          <t>รหัส</t>
        </is>
      </c>
      <c r="C4" s="4" t="inlineStr">
        <is>
          <t>ชื่อวิชา</t>
        </is>
      </c>
      <c r="D4" s="3" t="inlineStr">
        <is>
          <t>นก.</t>
        </is>
      </c>
      <c r="E4" s="3" t="inlineStr">
        <is>
          <t>ยาก/10</t>
        </is>
      </c>
      <c r="F4" s="4" t="inlineStr">
        <is>
          <t>หมวด / เหตุผล</t>
        </is>
      </c>
      <c r="G4" s="4" t="inlineStr">
        <is>
          <t>บุพวิชา</t>
        </is>
      </c>
      <c r="H4" s="4" t="inlineStr">
        <is>
          <t>สถานะ / หมายเหตุ</t>
        </is>
      </c>
    </row>
    <row r="5">
      <c r="A5" s="5" t="inlineStr">
        <is>
          <t>ปีที่ 1 / เทอม 1   (ยากเฉลี่ย 3.1/10)</t>
        </is>
      </c>
      <c r="B5" s="6" t="n"/>
      <c r="C5" s="6" t="n"/>
      <c r="D5" s="6" t="n"/>
      <c r="E5" s="6" t="n"/>
      <c r="F5" s="6" t="n"/>
      <c r="G5" s="6" t="n"/>
      <c r="H5" s="7" t="inlineStr">
        <is>
          <t>21 นก.</t>
        </is>
      </c>
    </row>
    <row r="6">
      <c r="A6" s="8" t="inlineStr"/>
      <c r="B6" s="8" t="inlineStr">
        <is>
          <t>ECO1121</t>
        </is>
      </c>
      <c r="C6" s="9" t="inlineStr">
        <is>
          <t>หลักเศรษฐศาสตร์จุลภาค</t>
        </is>
      </c>
      <c r="D6" s="8" t="n">
        <v>3</v>
      </c>
      <c r="E6" s="10" t="n">
        <v>3</v>
      </c>
      <c r="F6" s="9" t="inlineStr">
        <is>
          <t>แกน econ</t>
        </is>
      </c>
      <c r="G6" s="9" t="inlineStr">
        <is>
          <t>-</t>
        </is>
      </c>
      <c r="H6" s="9" t="inlineStr">
        <is>
          <t>✓</t>
        </is>
      </c>
    </row>
    <row r="7">
      <c r="A7" s="8" t="inlineStr"/>
      <c r="B7" s="8" t="inlineStr">
        <is>
          <t>ECO1123</t>
        </is>
      </c>
      <c r="C7" s="9" t="inlineStr">
        <is>
          <t>คณิต–สถิติเบื้องต้นสำหรับ ศ.</t>
        </is>
      </c>
      <c r="D7" s="8" t="n">
        <v>3</v>
      </c>
      <c r="E7" s="10" t="n">
        <v>4</v>
      </c>
      <c r="F7" s="9" t="inlineStr">
        <is>
          <t>แกน • ด่านทดสอบเลข</t>
        </is>
      </c>
      <c r="G7" s="9" t="inlineStr">
        <is>
          <t>-</t>
        </is>
      </c>
      <c r="H7" s="9" t="inlineStr">
        <is>
          <t>✓</t>
        </is>
      </c>
    </row>
    <row r="8">
      <c r="A8" s="8" t="inlineStr"/>
      <c r="B8" s="8" t="inlineStr">
        <is>
          <t>ACC1103</t>
        </is>
      </c>
      <c r="C8" s="9" t="inlineStr">
        <is>
          <t>การบัญชีการเงิน</t>
        </is>
      </c>
      <c r="D8" s="8" t="n">
        <v>3</v>
      </c>
      <c r="E8" s="10" t="n">
        <v>4</v>
      </c>
      <c r="F8" s="9" t="inlineStr">
        <is>
          <t>แกน econ</t>
        </is>
      </c>
      <c r="G8" s="9" t="inlineStr">
        <is>
          <t>-</t>
        </is>
      </c>
      <c r="H8" s="9" t="inlineStr">
        <is>
          <t>✓</t>
        </is>
      </c>
    </row>
    <row r="9">
      <c r="A9" s="11" t="inlineStr"/>
      <c r="B9" s="11" t="inlineStr">
        <is>
          <t>MTH1101</t>
        </is>
      </c>
      <c r="C9" s="12" t="inlineStr">
        <is>
          <t>Calculus &amp; Analytic Geometry I</t>
        </is>
      </c>
      <c r="D9" s="11" t="n">
        <v>3</v>
      </c>
      <c r="E9" s="10" t="n">
        <v>4</v>
      </c>
      <c r="F9" s="12" t="inlineStr">
        <is>
          <t>เลือกเสรี</t>
        </is>
      </c>
      <c r="G9" s="12" t="inlineStr">
        <is>
          <t>-</t>
        </is>
      </c>
      <c r="H9" s="12" t="inlineStr">
        <is>
          <t>✓</t>
        </is>
      </c>
    </row>
    <row r="10">
      <c r="A10" s="13" t="inlineStr"/>
      <c r="B10" s="13" t="inlineStr">
        <is>
          <t>RAM1111</t>
        </is>
      </c>
      <c r="C10" s="14" t="inlineStr">
        <is>
          <t>English in Daily Life</t>
        </is>
      </c>
      <c r="D10" s="13" t="n">
        <v>3</v>
      </c>
      <c r="E10" s="10" t="n">
        <v>2</v>
      </c>
      <c r="F10" s="14" t="inlineStr">
        <is>
          <t>ศึกษาทั่วไป 1.1</t>
        </is>
      </c>
      <c r="G10" s="14" t="inlineStr">
        <is>
          <t>-</t>
        </is>
      </c>
      <c r="H10" s="14" t="inlineStr">
        <is>
          <t>✓</t>
        </is>
      </c>
    </row>
    <row r="11">
      <c r="A11" s="13" t="inlineStr"/>
      <c r="B11" s="13" t="inlineStr">
        <is>
          <t>RAM1103</t>
        </is>
      </c>
      <c r="C11" s="14" t="inlineStr">
        <is>
          <t>Thai for Communication at Work</t>
        </is>
      </c>
      <c r="D11" s="13" t="n">
        <v>3</v>
      </c>
      <c r="E11" s="10" t="n">
        <v>2</v>
      </c>
      <c r="F11" s="14" t="inlineStr">
        <is>
          <t>ศึกษาทั่วไป 1.1</t>
        </is>
      </c>
      <c r="G11" s="14" t="inlineStr">
        <is>
          <t>-</t>
        </is>
      </c>
      <c r="H11" s="14" t="inlineStr">
        <is>
          <t>✓</t>
        </is>
      </c>
    </row>
    <row r="12">
      <c r="A12" s="11" t="inlineStr"/>
      <c r="B12" s="11" t="inlineStr">
        <is>
          <t>COS1101</t>
        </is>
      </c>
      <c r="C12" s="12" t="inlineStr">
        <is>
          <t>Introduction to Computer Science</t>
        </is>
      </c>
      <c r="D12" s="11" t="n">
        <v>3</v>
      </c>
      <c r="E12" s="10" t="n">
        <v>3</v>
      </c>
      <c r="F12" s="12" t="inlineStr">
        <is>
          <t>เก็บเพิ่ม • พื้นฐาน CS</t>
        </is>
      </c>
      <c r="G12" s="12" t="inlineStr">
        <is>
          <t>-</t>
        </is>
      </c>
      <c r="H12" s="12" t="inlineStr">
        <is>
          <t>✓</t>
        </is>
      </c>
    </row>
    <row r="13">
      <c r="A13" s="5" t="inlineStr">
        <is>
          <t>ปีที่ 1 / เทอม 2   (ยากเฉลี่ย 4.1/10)</t>
        </is>
      </c>
      <c r="B13" s="6" t="n"/>
      <c r="C13" s="6" t="n"/>
      <c r="D13" s="6" t="n"/>
      <c r="E13" s="6" t="n"/>
      <c r="F13" s="6" t="n"/>
      <c r="G13" s="6" t="n"/>
      <c r="H13" s="7" t="inlineStr">
        <is>
          <t>21 นก.</t>
        </is>
      </c>
    </row>
    <row r="14">
      <c r="A14" s="8" t="inlineStr"/>
      <c r="B14" s="8" t="inlineStr">
        <is>
          <t>ECO1122</t>
        </is>
      </c>
      <c r="C14" s="9" t="inlineStr">
        <is>
          <t>หลักเศรษฐศาสตร์มหภาค</t>
        </is>
      </c>
      <c r="D14" s="8" t="n">
        <v>3</v>
      </c>
      <c r="E14" s="10" t="n">
        <v>3</v>
      </c>
      <c r="F14" s="9" t="inlineStr">
        <is>
          <t>แกน econ</t>
        </is>
      </c>
      <c r="G14" s="9" t="inlineStr">
        <is>
          <t>ECO1123</t>
        </is>
      </c>
      <c r="H14" s="9" t="inlineStr">
        <is>
          <t>✓</t>
        </is>
      </c>
    </row>
    <row r="15">
      <c r="A15" s="11" t="inlineStr"/>
      <c r="B15" s="11" t="inlineStr">
        <is>
          <t>MTH1102</t>
        </is>
      </c>
      <c r="C15" s="12" t="inlineStr">
        <is>
          <t>Calculus &amp; Analytic Geometry II</t>
        </is>
      </c>
      <c r="D15" s="11" t="n">
        <v>3</v>
      </c>
      <c r="E15" s="15" t="n">
        <v>5</v>
      </c>
      <c r="F15" s="12" t="inlineStr">
        <is>
          <t>เลือกเสรี</t>
        </is>
      </c>
      <c r="G15" s="12" t="inlineStr">
        <is>
          <t>MTH1101</t>
        </is>
      </c>
      <c r="H15" s="12" t="inlineStr">
        <is>
          <t>✓</t>
        </is>
      </c>
    </row>
    <row r="16">
      <c r="A16" s="11" t="inlineStr"/>
      <c r="B16" s="11" t="inlineStr">
        <is>
          <t>MTH2001</t>
        </is>
      </c>
      <c r="C16" s="12" t="inlineStr">
        <is>
          <t>Fundamental Concepts in Math 1</t>
        </is>
      </c>
      <c r="D16" s="11" t="n">
        <v>3</v>
      </c>
      <c r="E16" s="16" t="n">
        <v>7</v>
      </c>
      <c r="F16" s="12" t="inlineStr">
        <is>
          <t>★ พิสูจน์ (ฐาน Real Analysis)</t>
        </is>
      </c>
      <c r="G16" s="12" t="inlineStr">
        <is>
          <t>-</t>
        </is>
      </c>
      <c r="H16" s="12" t="inlineStr">
        <is>
          <t>✓</t>
        </is>
      </c>
    </row>
    <row r="17">
      <c r="A17" s="11" t="inlineStr"/>
      <c r="B17" s="11" t="inlineStr">
        <is>
          <t>MTH2206</t>
        </is>
      </c>
      <c r="C17" s="12" t="inlineStr">
        <is>
          <t>Matrix Theory &amp; Linear Algebra 1</t>
        </is>
      </c>
      <c r="D17" s="11" t="n">
        <v>3</v>
      </c>
      <c r="E17" s="15" t="n">
        <v>5</v>
      </c>
      <c r="F17" s="12" t="inlineStr">
        <is>
          <t>โทคณิต</t>
        </is>
      </c>
      <c r="G17" s="12" t="inlineStr">
        <is>
          <t>MTH1101</t>
        </is>
      </c>
      <c r="H17" s="12" t="inlineStr">
        <is>
          <t>✓</t>
        </is>
      </c>
    </row>
    <row r="18">
      <c r="A18" s="13" t="inlineStr"/>
      <c r="B18" s="13" t="inlineStr">
        <is>
          <t>RAM1131</t>
        </is>
      </c>
      <c r="C18" s="14" t="inlineStr">
        <is>
          <t>Digital Literacy</t>
        </is>
      </c>
      <c r="D18" s="13" t="n">
        <v>3</v>
      </c>
      <c r="E18" s="10" t="n">
        <v>2</v>
      </c>
      <c r="F18" s="14" t="inlineStr">
        <is>
          <t>ศึกษาทั่วไป 1.1</t>
        </is>
      </c>
      <c r="G18" s="14" t="inlineStr">
        <is>
          <t>-</t>
        </is>
      </c>
      <c r="H18" s="14" t="inlineStr">
        <is>
          <t>✓</t>
        </is>
      </c>
    </row>
    <row r="19">
      <c r="A19" s="13" t="inlineStr"/>
      <c r="B19" s="13" t="inlineStr">
        <is>
          <t>RAM1301</t>
        </is>
      </c>
      <c r="C19" s="14" t="inlineStr">
        <is>
          <t>คุณธรรมคู่ความรู้</t>
        </is>
      </c>
      <c r="D19" s="13" t="n">
        <v>3</v>
      </c>
      <c r="E19" s="10" t="n">
        <v>2</v>
      </c>
      <c r="F19" s="14" t="inlineStr">
        <is>
          <t>ศึกษาทั่วไป 1.3</t>
        </is>
      </c>
      <c r="G19" s="14" t="inlineStr">
        <is>
          <t>-</t>
        </is>
      </c>
      <c r="H19" s="14" t="inlineStr">
        <is>
          <t>✓</t>
        </is>
      </c>
    </row>
    <row r="20">
      <c r="A20" s="11" t="inlineStr"/>
      <c r="B20" s="11" t="inlineStr">
        <is>
          <t>COS1103</t>
        </is>
      </c>
      <c r="C20" s="12" t="inlineStr">
        <is>
          <t>Algorithms and Programming</t>
        </is>
      </c>
      <c r="D20" s="11" t="n">
        <v>3</v>
      </c>
      <c r="E20" s="15" t="n">
        <v>5</v>
      </c>
      <c r="F20" s="12" t="inlineStr">
        <is>
          <t>เก็บเพิ่ม • Algorithms (พื้นฐาน coding)</t>
        </is>
      </c>
      <c r="G20" s="12" t="inlineStr">
        <is>
          <t>COS1101</t>
        </is>
      </c>
      <c r="H20" s="12" t="inlineStr">
        <is>
          <t>✓ (CR COS1101)</t>
        </is>
      </c>
    </row>
    <row r="21">
      <c r="A21" s="5" t="inlineStr">
        <is>
          <t>ปีที่ 2 / เทอม 1   (ยากเฉลี่ย 5.6/10)</t>
        </is>
      </c>
      <c r="B21" s="6" t="n"/>
      <c r="C21" s="6" t="n"/>
      <c r="D21" s="6" t="n"/>
      <c r="E21" s="6" t="n"/>
      <c r="F21" s="6" t="n"/>
      <c r="G21" s="6" t="n"/>
      <c r="H21" s="7" t="inlineStr">
        <is>
          <t>21 นก.</t>
        </is>
      </c>
    </row>
    <row r="22">
      <c r="A22" s="8" t="inlineStr"/>
      <c r="B22" s="8" t="inlineStr">
        <is>
          <t>ECO2121</t>
        </is>
      </c>
      <c r="C22" s="9" t="inlineStr">
        <is>
          <t>ทฤษฎีจุลภาค 1</t>
        </is>
      </c>
      <c r="D22" s="8" t="n">
        <v>3</v>
      </c>
      <c r="E22" s="15" t="n">
        <v>6</v>
      </c>
      <c r="F22" s="9" t="inlineStr">
        <is>
          <t>แกน econ</t>
        </is>
      </c>
      <c r="G22" s="9" t="inlineStr">
        <is>
          <t>ECO1121,1123</t>
        </is>
      </c>
      <c r="H22" s="9" t="inlineStr">
        <is>
          <t>✓</t>
        </is>
      </c>
    </row>
    <row r="23">
      <c r="A23" s="8" t="inlineStr"/>
      <c r="B23" s="8" t="inlineStr">
        <is>
          <t>ECO2122</t>
        </is>
      </c>
      <c r="C23" s="9" t="inlineStr">
        <is>
          <t>ทฤษฎีมหภาค 1</t>
        </is>
      </c>
      <c r="D23" s="8" t="n">
        <v>3</v>
      </c>
      <c r="E23" s="15" t="n">
        <v>6</v>
      </c>
      <c r="F23" s="9" t="inlineStr">
        <is>
          <t>แกน econ</t>
        </is>
      </c>
      <c r="G23" s="9" t="inlineStr">
        <is>
          <t>ECO1122,1123</t>
        </is>
      </c>
      <c r="H23" s="9" t="inlineStr">
        <is>
          <t>✓</t>
        </is>
      </c>
    </row>
    <row r="24">
      <c r="A24" s="8" t="inlineStr"/>
      <c r="B24" s="8" t="inlineStr">
        <is>
          <t>ECO2125</t>
        </is>
      </c>
      <c r="C24" s="9" t="inlineStr">
        <is>
          <t>คณิตศาสตร์สำหรับเศรษฐศาสตร์</t>
        </is>
      </c>
      <c r="D24" s="8" t="n">
        <v>3</v>
      </c>
      <c r="E24" s="15" t="n">
        <v>6</v>
      </c>
      <c r="F24" s="9" t="inlineStr">
        <is>
          <t>แกน • วิชาสัญญาณ</t>
        </is>
      </c>
      <c r="G24" s="9" t="inlineStr">
        <is>
          <t>ECO1123</t>
        </is>
      </c>
      <c r="H24" s="9" t="inlineStr">
        <is>
          <t>✓</t>
        </is>
      </c>
    </row>
    <row r="25">
      <c r="A25" s="8" t="inlineStr"/>
      <c r="B25" s="8" t="inlineStr">
        <is>
          <t>ECO2129</t>
        </is>
      </c>
      <c r="C25" s="9" t="inlineStr">
        <is>
          <t>เศรษฐกิจประเทศไทย</t>
        </is>
      </c>
      <c r="D25" s="8" t="n">
        <v>3</v>
      </c>
      <c r="E25" s="10" t="n">
        <v>3</v>
      </c>
      <c r="F25" s="9" t="inlineStr">
        <is>
          <t>แกน econ</t>
        </is>
      </c>
      <c r="G25" s="9" t="inlineStr">
        <is>
          <t>ECO1121,1122</t>
        </is>
      </c>
      <c r="H25" s="9" t="inlineStr">
        <is>
          <t>✓</t>
        </is>
      </c>
    </row>
    <row r="26">
      <c r="A26" s="11" t="inlineStr"/>
      <c r="B26" s="11" t="inlineStr">
        <is>
          <t>MTH2103</t>
        </is>
      </c>
      <c r="C26" s="12" t="inlineStr">
        <is>
          <t>Calculus &amp; Analytic Geometry III</t>
        </is>
      </c>
      <c r="D26" s="11" t="n">
        <v>3</v>
      </c>
      <c r="E26" s="15" t="n">
        <v>6</v>
      </c>
      <c r="F26" s="12" t="inlineStr">
        <is>
          <t>โทคณิต • หลายตัวแปร</t>
        </is>
      </c>
      <c r="G26" s="12" t="inlineStr">
        <is>
          <t>MTH1102</t>
        </is>
      </c>
      <c r="H26" s="12" t="inlineStr">
        <is>
          <t>✓</t>
        </is>
      </c>
    </row>
    <row r="27">
      <c r="A27" s="11" t="inlineStr"/>
      <c r="B27" s="11" t="inlineStr">
        <is>
          <t>STA3101</t>
        </is>
      </c>
      <c r="C27" s="12" t="inlineStr">
        <is>
          <t>Probability Theory 1</t>
        </is>
      </c>
      <c r="D27" s="11" t="n">
        <v>3</v>
      </c>
      <c r="E27" s="16" t="n">
        <v>7</v>
      </c>
      <c r="F27" s="12" t="inlineStr">
        <is>
          <t>★ ฐานความน่าจะเป็น</t>
        </is>
      </c>
      <c r="G27" s="12" t="inlineStr">
        <is>
          <t>MTH1102</t>
        </is>
      </c>
      <c r="H27" s="12" t="inlineStr">
        <is>
          <t>✓</t>
        </is>
      </c>
    </row>
    <row r="28">
      <c r="A28" s="11" t="inlineStr"/>
      <c r="B28" s="11" t="inlineStr">
        <is>
          <t>STA2003</t>
        </is>
      </c>
      <c r="C28" s="12" t="inlineStr">
        <is>
          <t>Principles of Statistics</t>
        </is>
      </c>
      <c r="D28" s="11" t="n">
        <v>3</v>
      </c>
      <c r="E28" s="15" t="n">
        <v>5</v>
      </c>
      <c r="F28" s="12" t="inlineStr">
        <is>
          <t>★ เพิ่ม v12 • บุพวิชาของ ECO2126 &amp; MTH3611</t>
        </is>
      </c>
      <c r="G28" s="12" t="inlineStr">
        <is>
          <t>-</t>
        </is>
      </c>
      <c r="H28" s="12" t="inlineStr">
        <is>
          <t>✓ (ไม่มีบุพวิชา)</t>
        </is>
      </c>
    </row>
    <row r="29">
      <c r="A29" s="5" t="inlineStr">
        <is>
          <t>ปีที่ 2 / เทอม 2   (ยากเฉลี่ย 6.1/10)</t>
        </is>
      </c>
      <c r="B29" s="6" t="n"/>
      <c r="C29" s="6" t="n"/>
      <c r="D29" s="6" t="n"/>
      <c r="E29" s="6" t="n"/>
      <c r="F29" s="6" t="n"/>
      <c r="G29" s="6" t="n"/>
      <c r="H29" s="7" t="inlineStr">
        <is>
          <t>21 นก.</t>
        </is>
      </c>
    </row>
    <row r="30">
      <c r="A30" s="8" t="inlineStr"/>
      <c r="B30" s="8" t="inlineStr">
        <is>
          <t>ECO2123</t>
        </is>
      </c>
      <c r="C30" s="9" t="inlineStr">
        <is>
          <t>ทฤษฎีจุลภาค 2</t>
        </is>
      </c>
      <c r="D30" s="8" t="n">
        <v>3</v>
      </c>
      <c r="E30" s="16" t="n">
        <v>7</v>
      </c>
      <c r="F30" s="9" t="inlineStr">
        <is>
          <t>แกน econ</t>
        </is>
      </c>
      <c r="G30" s="9" t="inlineStr">
        <is>
          <t>ECO2121</t>
        </is>
      </c>
      <c r="H30" s="9" t="inlineStr">
        <is>
          <t>✓</t>
        </is>
      </c>
    </row>
    <row r="31">
      <c r="A31" s="8" t="inlineStr"/>
      <c r="B31" s="8" t="inlineStr">
        <is>
          <t>ECO2124</t>
        </is>
      </c>
      <c r="C31" s="9" t="inlineStr">
        <is>
          <t>ทฤษฎีมหภาค 2</t>
        </is>
      </c>
      <c r="D31" s="8" t="n">
        <v>3</v>
      </c>
      <c r="E31" s="16" t="n">
        <v>7</v>
      </c>
      <c r="F31" s="9" t="inlineStr">
        <is>
          <t>แกน econ</t>
        </is>
      </c>
      <c r="G31" s="9" t="inlineStr">
        <is>
          <t>ECO2122</t>
        </is>
      </c>
      <c r="H31" s="9" t="inlineStr">
        <is>
          <t>✓</t>
        </is>
      </c>
    </row>
    <row r="32">
      <c r="A32" s="8" t="inlineStr"/>
      <c r="B32" s="8" t="inlineStr">
        <is>
          <t>ECO2126</t>
        </is>
      </c>
      <c r="C32" s="9" t="inlineStr">
        <is>
          <t>สถิติสำหรับเศรษฐศาสตร์</t>
        </is>
      </c>
      <c r="D32" s="8" t="n">
        <v>3</v>
      </c>
      <c r="E32" s="15" t="n">
        <v>6</v>
      </c>
      <c r="F32" s="9" t="inlineStr">
        <is>
          <t>แกน • วิชาสัญญาณ</t>
        </is>
      </c>
      <c r="G32" s="9" t="inlineStr">
        <is>
          <t>STA2003</t>
        </is>
      </c>
      <c r="H32" s="9" t="inlineStr">
        <is>
          <t>✓ STA2003 อยู่ปี2/เทอม1</t>
        </is>
      </c>
    </row>
    <row r="33">
      <c r="A33" s="11" t="inlineStr"/>
      <c r="B33" s="11" t="inlineStr">
        <is>
          <t>MTH2104</t>
        </is>
      </c>
      <c r="C33" s="12" t="inlineStr">
        <is>
          <t>Advanced Calculus 1</t>
        </is>
      </c>
      <c r="D33" s="11" t="n">
        <v>3</v>
      </c>
      <c r="E33" s="16" t="n">
        <v>8</v>
      </c>
      <c r="F33" s="12" t="inlineStr">
        <is>
          <t>โทคณิต • ปลดล็อก Real Analysis</t>
        </is>
      </c>
      <c r="G33" s="12" t="inlineStr">
        <is>
          <t>MTH2103</t>
        </is>
      </c>
      <c r="H33" s="12" t="inlineStr">
        <is>
          <t>✓</t>
        </is>
      </c>
    </row>
    <row r="34">
      <c r="A34" s="11" t="inlineStr"/>
      <c r="B34" s="11" t="inlineStr">
        <is>
          <t>MTH3204</t>
        </is>
      </c>
      <c r="C34" s="12" t="inlineStr">
        <is>
          <t>Matrix Theory &amp; Linear Algebra 2</t>
        </is>
      </c>
      <c r="D34" s="11" t="n">
        <v>3</v>
      </c>
      <c r="E34" s="16" t="n">
        <v>7</v>
      </c>
      <c r="F34" s="12" t="inlineStr">
        <is>
          <t>โทคณิต</t>
        </is>
      </c>
      <c r="G34" s="12" t="inlineStr">
        <is>
          <t>MTH2206</t>
        </is>
      </c>
      <c r="H34" s="12" t="inlineStr">
        <is>
          <t>✓</t>
        </is>
      </c>
    </row>
    <row r="35">
      <c r="A35" s="13" t="inlineStr"/>
      <c r="B35" s="13" t="inlineStr">
        <is>
          <t>RAM1141</t>
        </is>
      </c>
      <c r="C35" s="14" t="inlineStr">
        <is>
          <t>ศาสตร์แห่งบุคลิกภาพ</t>
        </is>
      </c>
      <c r="D35" s="13" t="n">
        <v>3</v>
      </c>
      <c r="E35" s="10" t="n">
        <v>2</v>
      </c>
      <c r="F35" s="14" t="inlineStr">
        <is>
          <t>ศึกษาทั่วไป 1.1</t>
        </is>
      </c>
      <c r="G35" s="14" t="inlineStr">
        <is>
          <t>-</t>
        </is>
      </c>
      <c r="H35" s="14" t="inlineStr">
        <is>
          <t>✓</t>
        </is>
      </c>
    </row>
    <row r="36">
      <c r="A36" s="17" t="inlineStr"/>
      <c r="B36" s="17" t="inlineStr">
        <is>
          <t>ACC2202</t>
        </is>
      </c>
      <c r="C36" s="18" t="inlineStr">
        <is>
          <t>Intermediate Accounting</t>
        </is>
      </c>
      <c r="D36" s="17" t="n">
        <v>3</v>
      </c>
      <c r="E36" s="15" t="n">
        <v>6</v>
      </c>
      <c r="F36" s="18" t="inlineStr">
        <is>
          <t>บัญชีเชิงลึก (ก่อนฝึกงาน)</t>
        </is>
      </c>
      <c r="G36" s="18" t="inlineStr">
        <is>
          <t>ACC1103</t>
        </is>
      </c>
      <c r="H36" s="18" t="inlineStr">
        <is>
          <t>⚠️ เช็ก ACC1101/1103</t>
        </is>
      </c>
    </row>
    <row r="37">
      <c r="A37" s="5" t="inlineStr">
        <is>
          <t>ปีที่ 3 / เทอม 1   (ยากเฉลี่ย 6.0/10)</t>
        </is>
      </c>
      <c r="B37" s="6" t="n"/>
      <c r="C37" s="6" t="n"/>
      <c r="D37" s="6" t="n"/>
      <c r="E37" s="6" t="n"/>
      <c r="F37" s="6" t="n"/>
      <c r="G37" s="6" t="n"/>
      <c r="H37" s="7" t="inlineStr">
        <is>
          <t>21 นก.</t>
        </is>
      </c>
    </row>
    <row r="38">
      <c r="A38" s="8" t="inlineStr"/>
      <c r="B38" s="8" t="inlineStr">
        <is>
          <t>ECO3121</t>
        </is>
      </c>
      <c r="C38" s="9" t="inlineStr">
        <is>
          <t>เศรษฐศาสตร์จุลภาคระดับสูง</t>
        </is>
      </c>
      <c r="D38" s="8" t="n">
        <v>3</v>
      </c>
      <c r="E38" s="16" t="n">
        <v>8</v>
      </c>
      <c r="F38" s="9" t="inlineStr">
        <is>
          <t>เชี่ยวชาญ</t>
        </is>
      </c>
      <c r="G38" s="9" t="inlineStr">
        <is>
          <t>ECO2123,2125</t>
        </is>
      </c>
      <c r="H38" s="9" t="inlineStr">
        <is>
          <t>✓</t>
        </is>
      </c>
    </row>
    <row r="39">
      <c r="A39" s="8" t="inlineStr"/>
      <c r="B39" s="8" t="inlineStr">
        <is>
          <t>ECO3123</t>
        </is>
      </c>
      <c r="C39" s="9" t="inlineStr">
        <is>
          <t>เศรษฐมิติเบื้องต้น</t>
        </is>
      </c>
      <c r="D39" s="8" t="n">
        <v>3</v>
      </c>
      <c r="E39" s="16" t="n">
        <v>7</v>
      </c>
      <c r="F39" s="9" t="inlineStr">
        <is>
          <t>เชี่ยวชาญ • ดาวเด่น</t>
        </is>
      </c>
      <c r="G39" s="9" t="inlineStr">
        <is>
          <t>ECO2125,2126</t>
        </is>
      </c>
      <c r="H39" s="9" t="inlineStr">
        <is>
          <t>✓ (รอ ECO2126)</t>
        </is>
      </c>
    </row>
    <row r="40">
      <c r="A40" s="17" t="inlineStr"/>
      <c r="B40" s="17" t="inlineStr">
        <is>
          <t>ECO3320</t>
        </is>
      </c>
      <c r="C40" s="18" t="inlineStr">
        <is>
          <t>เศรษฐศาสตร์การเงินและการธนาคาร</t>
        </is>
      </c>
      <c r="D40" s="17" t="n">
        <v>3</v>
      </c>
      <c r="E40" s="15" t="n">
        <v>5</v>
      </c>
      <c r="F40" s="18" t="inlineStr">
        <is>
          <t>เลือกกลุ่มอื่น–การเงิน</t>
        </is>
      </c>
      <c r="G40" s="18" t="inlineStr">
        <is>
          <t>ECO2124</t>
        </is>
      </c>
      <c r="H40" s="18" t="inlineStr">
        <is>
          <t>✓</t>
        </is>
      </c>
    </row>
    <row r="41">
      <c r="A41" s="11" t="inlineStr"/>
      <c r="B41" s="11" t="inlineStr">
        <is>
          <t>MTH2106</t>
        </is>
      </c>
      <c r="C41" s="12" t="inlineStr">
        <is>
          <t>Differential Equations</t>
        </is>
      </c>
      <c r="D41" s="11" t="n">
        <v>3</v>
      </c>
      <c r="E41" s="15" t="n">
        <v>6</v>
      </c>
      <c r="F41" s="12" t="inlineStr">
        <is>
          <t>โทคณิต</t>
        </is>
      </c>
      <c r="G41" s="12" t="inlineStr">
        <is>
          <t>MTH1102</t>
        </is>
      </c>
      <c r="H41" s="12" t="inlineStr">
        <is>
          <t>✓</t>
        </is>
      </c>
    </row>
    <row r="42">
      <c r="A42" s="11" t="inlineStr"/>
      <c r="B42" s="11" t="inlineStr">
        <is>
          <t>STA3102</t>
        </is>
      </c>
      <c r="C42" s="12" t="inlineStr">
        <is>
          <t>Probability Theory 2</t>
        </is>
      </c>
      <c r="D42" s="11" t="n">
        <v>3</v>
      </c>
      <c r="E42" s="16" t="n">
        <v>8</v>
      </c>
      <c r="F42" s="12" t="inlineStr">
        <is>
          <t>★ ปลดล็อก Theory of Stats</t>
        </is>
      </c>
      <c r="G42" s="12" t="inlineStr">
        <is>
          <t>STA3101+MTH2103</t>
        </is>
      </c>
      <c r="H42" s="12" t="inlineStr">
        <is>
          <t>✓</t>
        </is>
      </c>
    </row>
    <row r="43">
      <c r="A43" s="8" t="inlineStr"/>
      <c r="B43" s="8" t="inlineStr">
        <is>
          <t>ECO2130</t>
        </is>
      </c>
      <c r="C43" s="9" t="inlineStr">
        <is>
          <t>English for Economics</t>
        </is>
      </c>
      <c r="D43" s="8" t="n">
        <v>3</v>
      </c>
      <c r="E43" s="10" t="n">
        <v>3</v>
      </c>
      <c r="F43" s="9" t="inlineStr">
        <is>
          <t>แกน econ</t>
        </is>
      </c>
      <c r="G43" s="9" t="inlineStr">
        <is>
          <t>-</t>
        </is>
      </c>
      <c r="H43" s="9" t="inlineStr">
        <is>
          <t>✓</t>
        </is>
      </c>
    </row>
    <row r="44">
      <c r="A44" s="17" t="inlineStr"/>
      <c r="B44" s="17" t="inlineStr">
        <is>
          <t>FIN2101</t>
        </is>
      </c>
      <c r="C44" s="18" t="inlineStr">
        <is>
          <t>Business Finance</t>
        </is>
      </c>
      <c r="D44" s="17" t="n">
        <v>3</v>
      </c>
      <c r="E44" s="15" t="n">
        <v>5</v>
      </c>
      <c r="F44" s="18" t="inlineStr">
        <is>
          <t>เก็บเพิ่ม • บุพวิชา FIN3xxx</t>
        </is>
      </c>
      <c r="G44" s="18" t="inlineStr">
        <is>
          <t>ACC1103</t>
        </is>
      </c>
      <c r="H44" s="18" t="inlineStr">
        <is>
          <t>⚠️ เช็ก PR + สิทธิ์ข้ามคณะ</t>
        </is>
      </c>
    </row>
    <row r="45">
      <c r="A45" s="5" t="inlineStr">
        <is>
          <t>ปีที่ 3 / เทอม 2   (ยากเฉลี่ย 5.6/10)</t>
        </is>
      </c>
      <c r="B45" s="6" t="n"/>
      <c r="C45" s="6" t="n"/>
      <c r="D45" s="6" t="n"/>
      <c r="E45" s="6" t="n"/>
      <c r="F45" s="6" t="n"/>
      <c r="G45" s="6" t="n"/>
      <c r="H45" s="7" t="inlineStr">
        <is>
          <t>21 นก.</t>
        </is>
      </c>
    </row>
    <row r="46">
      <c r="A46" s="8" t="inlineStr"/>
      <c r="B46" s="8" t="inlineStr">
        <is>
          <t>ECO3122</t>
        </is>
      </c>
      <c r="C46" s="9" t="inlineStr">
        <is>
          <t>เศรษฐศาสตร์มหภาคระดับสูง</t>
        </is>
      </c>
      <c r="D46" s="8" t="n">
        <v>3</v>
      </c>
      <c r="E46" s="16" t="n">
        <v>8</v>
      </c>
      <c r="F46" s="9" t="inlineStr">
        <is>
          <t>เชี่ยวชาญ</t>
        </is>
      </c>
      <c r="G46" s="9" t="inlineStr">
        <is>
          <t>ECO2124,2125</t>
        </is>
      </c>
      <c r="H46" s="9" t="inlineStr">
        <is>
          <t>✓</t>
        </is>
      </c>
    </row>
    <row r="47">
      <c r="A47" s="17" t="inlineStr"/>
      <c r="B47" s="17" t="inlineStr">
        <is>
          <t>ECO3323</t>
        </is>
      </c>
      <c r="C47" s="18" t="inlineStr">
        <is>
          <t>การบริหารความเสี่ยงองค์กร</t>
        </is>
      </c>
      <c r="D47" s="17" t="n">
        <v>3</v>
      </c>
      <c r="E47" s="15" t="n">
        <v>5</v>
      </c>
      <c r="F47" s="18" t="inlineStr">
        <is>
          <t>เลือกกลุ่มอื่น–การเงิน</t>
        </is>
      </c>
      <c r="G47" s="18" t="inlineStr">
        <is>
          <t>ECO2121</t>
        </is>
      </c>
      <c r="H47" s="18" t="inlineStr">
        <is>
          <t>✓</t>
        </is>
      </c>
    </row>
    <row r="48">
      <c r="A48" s="8" t="inlineStr"/>
      <c r="B48" s="8" t="inlineStr">
        <is>
          <t>ECO2128</t>
        </is>
      </c>
      <c r="C48" s="9" t="inlineStr">
        <is>
          <t>ระเบียบวิธีวิจัยทางเศรษฐศาสตร์</t>
        </is>
      </c>
      <c r="D48" s="8" t="n">
        <v>3</v>
      </c>
      <c r="E48" s="15" t="n">
        <v>5</v>
      </c>
      <c r="F48" s="9" t="inlineStr">
        <is>
          <t>แกน • ต่อยอด research paper</t>
        </is>
      </c>
      <c r="G48" s="9" t="inlineStr">
        <is>
          <t>ECO2123-2126</t>
        </is>
      </c>
      <c r="H48" s="9" t="inlineStr">
        <is>
          <t>✓</t>
        </is>
      </c>
    </row>
    <row r="49">
      <c r="A49" s="11" t="inlineStr"/>
      <c r="B49" s="11" t="inlineStr">
        <is>
          <t>MTH4404</t>
        </is>
      </c>
      <c r="C49" s="12" t="inlineStr">
        <is>
          <t>Introduction to Real Analysis 1</t>
        </is>
      </c>
      <c r="D49" s="11" t="n">
        <v>3</v>
      </c>
      <c r="E49" s="19" t="n">
        <v>9</v>
      </c>
      <c r="F49" s="12" t="inlineStr">
        <is>
          <t>เก็บเพิ่ม • สัญญาณ #1</t>
        </is>
      </c>
      <c r="G49" s="12" t="inlineStr">
        <is>
          <t>MTH2104</t>
        </is>
      </c>
      <c r="H49" s="12" t="inlineStr">
        <is>
          <t>✓</t>
        </is>
      </c>
    </row>
    <row r="50">
      <c r="A50" s="17" t="inlineStr"/>
      <c r="B50" s="17" t="inlineStr">
        <is>
          <t>ACC4209</t>
        </is>
      </c>
      <c r="C50" s="18" t="inlineStr">
        <is>
          <t>Financial Reporting &amp; Analysis</t>
        </is>
      </c>
      <c r="D50" s="17" t="n">
        <v>3</v>
      </c>
      <c r="E50" s="15" t="n">
        <v>6</v>
      </c>
      <c r="F50" s="18" t="inlineStr">
        <is>
          <t>วิเคราะห์งบ (core IB)</t>
        </is>
      </c>
      <c r="G50" s="18" t="inlineStr">
        <is>
          <t>ACC2202</t>
        </is>
      </c>
      <c r="H50" s="18" t="inlineStr">
        <is>
          <t>✓</t>
        </is>
      </c>
    </row>
    <row r="51">
      <c r="A51" s="11" t="inlineStr"/>
      <c r="B51" s="11" t="inlineStr">
        <is>
          <t>SDM2102</t>
        </is>
      </c>
      <c r="C51" s="12" t="inlineStr">
        <is>
          <t>Foundations of Python Programming</t>
        </is>
      </c>
      <c r="D51" s="11" t="n">
        <v>3</v>
      </c>
      <c r="E51" s="10" t="n">
        <v>4</v>
      </c>
      <c r="F51" s="12" t="inlineStr">
        <is>
          <t>เก็บเพิ่ม • Python</t>
        </is>
      </c>
      <c r="G51" s="12" t="inlineStr">
        <is>
          <t>-</t>
        </is>
      </c>
      <c r="H51" s="12" t="inlineStr">
        <is>
          <t>✓</t>
        </is>
      </c>
    </row>
    <row r="52">
      <c r="A52" s="13" t="inlineStr"/>
      <c r="B52" s="13" t="inlineStr">
        <is>
          <t>RAM1312</t>
        </is>
      </c>
      <c r="C52" s="14" t="inlineStr">
        <is>
          <t>Contemporary Culture &amp; Digital Disruption</t>
        </is>
      </c>
      <c r="D52" s="13" t="n">
        <v>3</v>
      </c>
      <c r="E52" s="10" t="n">
        <v>2</v>
      </c>
      <c r="F52" s="14" t="inlineStr">
        <is>
          <t>⬅ ย้ายมา v10 • ลดโหลด</t>
        </is>
      </c>
      <c r="G52" s="14" t="inlineStr">
        <is>
          <t>-</t>
        </is>
      </c>
      <c r="H52" s="14" t="inlineStr">
        <is>
          <t>✓</t>
        </is>
      </c>
    </row>
    <row r="53">
      <c r="A53" s="5" t="inlineStr">
        <is>
          <t>ปีที่ 4 / เทอม 1   (ยากเฉลี่ย 6.1/10)</t>
        </is>
      </c>
      <c r="B53" s="6" t="n"/>
      <c r="C53" s="6" t="n"/>
      <c r="D53" s="6" t="n"/>
      <c r="E53" s="6" t="n"/>
      <c r="F53" s="6" t="n"/>
      <c r="G53" s="6" t="n"/>
      <c r="H53" s="7" t="inlineStr">
        <is>
          <t>21 นก.</t>
        </is>
      </c>
    </row>
    <row r="54">
      <c r="A54" s="8" t="inlineStr"/>
      <c r="B54" s="8" t="inlineStr">
        <is>
          <t>ECO4124</t>
        </is>
      </c>
      <c r="C54" s="9" t="inlineStr">
        <is>
          <t>Time-Series Econometrics</t>
        </is>
      </c>
      <c r="D54" s="8" t="n">
        <v>3</v>
      </c>
      <c r="E54" s="16" t="n">
        <v>8</v>
      </c>
      <c r="F54" s="9" t="inlineStr">
        <is>
          <t>เชี่ยวชาญ (เลือก)</t>
        </is>
      </c>
      <c r="G54" s="9" t="inlineStr">
        <is>
          <t>ECO3123</t>
        </is>
      </c>
      <c r="H54" s="9" t="inlineStr">
        <is>
          <t>✓</t>
        </is>
      </c>
    </row>
    <row r="55">
      <c r="A55" s="8" t="inlineStr"/>
      <c r="B55" s="8" t="inlineStr">
        <is>
          <t>ECO4125</t>
        </is>
      </c>
      <c r="C55" s="9" t="inlineStr">
        <is>
          <t>Microeconometrics</t>
        </is>
      </c>
      <c r="D55" s="8" t="n">
        <v>3</v>
      </c>
      <c r="E55" s="16" t="n">
        <v>8</v>
      </c>
      <c r="F55" s="9" t="inlineStr">
        <is>
          <t>เชี่ยวชาญ • เช็ก causal inf.</t>
        </is>
      </c>
      <c r="G55" s="9" t="inlineStr">
        <is>
          <t>ECO3123</t>
        </is>
      </c>
      <c r="H55" s="9" t="inlineStr">
        <is>
          <t>✓</t>
        </is>
      </c>
    </row>
    <row r="56">
      <c r="A56" s="17" t="inlineStr"/>
      <c r="B56" s="17" t="inlineStr">
        <is>
          <t>ECO4326</t>
        </is>
      </c>
      <c r="C56" s="18" t="inlineStr">
        <is>
          <t>Mathematical Finance</t>
        </is>
      </c>
      <c r="D56" s="17" t="n">
        <v>3</v>
      </c>
      <c r="E56" s="16" t="n">
        <v>8</v>
      </c>
      <c r="F56" s="18" t="inlineStr">
        <is>
          <t>เลือกกลุ่มอื่น–การเงิน</t>
        </is>
      </c>
      <c r="G56" s="18" t="inlineStr">
        <is>
          <t>ECO3323</t>
        </is>
      </c>
      <c r="H56" s="18" t="inlineStr">
        <is>
          <t>✓</t>
        </is>
      </c>
    </row>
    <row r="57">
      <c r="A57" s="11" t="inlineStr"/>
      <c r="B57" s="11" t="inlineStr">
        <is>
          <t>MTH3611</t>
        </is>
      </c>
      <c r="C57" s="12" t="inlineStr">
        <is>
          <t>Mathematical Stochastic Models</t>
        </is>
      </c>
      <c r="D57" s="11" t="n">
        <v>3</v>
      </c>
      <c r="E57" s="16" t="n">
        <v>8</v>
      </c>
      <c r="F57" s="12" t="inlineStr">
        <is>
          <t>เก็บเพิ่ม • Stochastic</t>
        </is>
      </c>
      <c r="G57" s="12" t="inlineStr">
        <is>
          <t>STA2003</t>
        </is>
      </c>
      <c r="H57" s="12" t="inlineStr">
        <is>
          <t>✓ แก้แล้ว: PR=STA2003 (อยู่ปี2/เทอม1)</t>
        </is>
      </c>
    </row>
    <row r="58">
      <c r="A58" s="17" t="inlineStr"/>
      <c r="B58" s="17" t="inlineStr">
        <is>
          <t>FIN3211</t>
        </is>
      </c>
      <c r="C58" s="18" t="inlineStr">
        <is>
          <t>Financial Management (Corp Finance)</t>
        </is>
      </c>
      <c r="D58" s="17" t="n">
        <v>3</v>
      </c>
      <c r="E58" s="15" t="n">
        <v>6</v>
      </c>
      <c r="F58" s="18" t="inlineStr">
        <is>
          <t>เก็บเพิ่ม • เนื้อ IB</t>
        </is>
      </c>
      <c r="G58" s="18" t="inlineStr">
        <is>
          <t>FIN2101</t>
        </is>
      </c>
      <c r="H58" s="18" t="inlineStr">
        <is>
          <t>⚠️ อาจต้อง FIN3208</t>
        </is>
      </c>
    </row>
    <row r="59">
      <c r="A59" s="13" t="inlineStr"/>
      <c r="B59" s="13" t="inlineStr">
        <is>
          <t>RAM1204</t>
        </is>
      </c>
      <c r="C59" s="14" t="inlineStr">
        <is>
          <t>Mathematics &amp; Statistics for Daily Life</t>
        </is>
      </c>
      <c r="D59" s="13" t="n">
        <v>3</v>
      </c>
      <c r="E59" s="10" t="n">
        <v>3</v>
      </c>
      <c r="F59" s="14" t="inlineStr">
        <is>
          <t>⬅ ย้ายมา v9</t>
        </is>
      </c>
      <c r="G59" s="14" t="inlineStr">
        <is>
          <t>-</t>
        </is>
      </c>
      <c r="H59" s="14" t="inlineStr">
        <is>
          <t>✓</t>
        </is>
      </c>
    </row>
    <row r="60">
      <c r="A60" s="13" t="inlineStr"/>
      <c r="B60" s="13" t="inlineStr">
        <is>
          <t>RAM1302</t>
        </is>
      </c>
      <c r="C60" s="14" t="inlineStr">
        <is>
          <t>Politics and Law in Daily Life</t>
        </is>
      </c>
      <c r="D60" s="13" t="n">
        <v>3</v>
      </c>
      <c r="E60" s="10" t="n">
        <v>2</v>
      </c>
      <c r="F60" s="14" t="inlineStr">
        <is>
          <t>ศึกษาทั่วไป 1.3</t>
        </is>
      </c>
      <c r="G60" s="14" t="inlineStr">
        <is>
          <t>-</t>
        </is>
      </c>
      <c r="H60" s="14" t="inlineStr">
        <is>
          <t>✓</t>
        </is>
      </c>
    </row>
    <row r="61">
      <c r="A61" s="5" t="inlineStr">
        <is>
          <t>ปีที่ 4 / เทอม 2   (ยากเฉลี่ย 5.4/10)</t>
        </is>
      </c>
      <c r="B61" s="6" t="n"/>
      <c r="C61" s="6" t="n"/>
      <c r="D61" s="6" t="n"/>
      <c r="E61" s="6" t="n"/>
      <c r="F61" s="6" t="n"/>
      <c r="G61" s="6" t="n"/>
      <c r="H61" s="7" t="inlineStr">
        <is>
          <t>21 นก.</t>
        </is>
      </c>
    </row>
    <row r="62">
      <c r="A62" s="8" t="inlineStr"/>
      <c r="B62" s="8" t="inlineStr">
        <is>
          <t>ECO4123</t>
        </is>
      </c>
      <c r="C62" s="9" t="inlineStr">
        <is>
          <t>Game Theory (ทฤษฎีเกม)</t>
        </is>
      </c>
      <c r="D62" s="8" t="n">
        <v>3</v>
      </c>
      <c r="E62" s="16" t="n">
        <v>7</v>
      </c>
      <c r="F62" s="9" t="inlineStr">
        <is>
          <t>เชี่ยวชาญ (เลือก)</t>
        </is>
      </c>
      <c r="G62" s="9" t="inlineStr">
        <is>
          <t>ECO2123,2125</t>
        </is>
      </c>
      <c r="H62" s="9" t="inlineStr">
        <is>
          <t>✓</t>
        </is>
      </c>
    </row>
    <row r="63">
      <c r="A63" s="17" t="inlineStr"/>
      <c r="B63" s="17" t="inlineStr">
        <is>
          <t>ECO4327</t>
        </is>
      </c>
      <c r="C63" s="18" t="inlineStr">
        <is>
          <t>Financial Risk Mgmt &amp; Derivatives</t>
        </is>
      </c>
      <c r="D63" s="17" t="n">
        <v>3</v>
      </c>
      <c r="E63" s="16" t="n">
        <v>7</v>
      </c>
      <c r="F63" s="18" t="inlineStr">
        <is>
          <t>เลือกกลุ่มอื่น–การเงิน</t>
        </is>
      </c>
      <c r="G63" s="18" t="inlineStr">
        <is>
          <t>ECO3320,3323</t>
        </is>
      </c>
      <c r="H63" s="18" t="inlineStr">
        <is>
          <t>✓</t>
        </is>
      </c>
    </row>
    <row r="64">
      <c r="A64" s="13" t="inlineStr"/>
      <c r="B64" s="13" t="inlineStr">
        <is>
          <t>RAM1112</t>
        </is>
      </c>
      <c r="C64" s="14" t="inlineStr">
        <is>
          <t>ภาษาและวัฒนธรรมอังกฤษ</t>
        </is>
      </c>
      <c r="D64" s="13" t="n">
        <v>3</v>
      </c>
      <c r="E64" s="10" t="n">
        <v>2</v>
      </c>
      <c r="F64" s="14" t="inlineStr">
        <is>
          <t>⬅ ย้ายมา v12 • ศึกษาทั่วไป 1.1</t>
        </is>
      </c>
      <c r="G64" s="14" t="inlineStr">
        <is>
          <t>-</t>
        </is>
      </c>
      <c r="H64" s="14" t="inlineStr">
        <is>
          <t>✓</t>
        </is>
      </c>
    </row>
    <row r="65">
      <c r="A65" s="17" t="inlineStr"/>
      <c r="B65" s="17" t="inlineStr">
        <is>
          <t>FIN3209</t>
        </is>
      </c>
      <c r="C65" s="18" t="inlineStr">
        <is>
          <t>Securities Analysis</t>
        </is>
      </c>
      <c r="D65" s="17" t="n">
        <v>3</v>
      </c>
      <c r="E65" s="15" t="n">
        <v>6</v>
      </c>
      <c r="F65" s="18" t="inlineStr">
        <is>
          <t>เก็บเพิ่ม • valuation</t>
        </is>
      </c>
      <c r="G65" s="18" t="inlineStr">
        <is>
          <t>FIN2101</t>
        </is>
      </c>
      <c r="H65" s="18" t="inlineStr">
        <is>
          <t>✓</t>
        </is>
      </c>
    </row>
    <row r="66">
      <c r="A66" s="17" t="inlineStr"/>
      <c r="B66" s="17" t="inlineStr">
        <is>
          <t>FIN3205</t>
        </is>
      </c>
      <c r="C66" s="18" t="inlineStr">
        <is>
          <t>Principles &amp; Policies of Investment</t>
        </is>
      </c>
      <c r="D66" s="17" t="n">
        <v>3</v>
      </c>
      <c r="E66" s="15" t="n">
        <v>5</v>
      </c>
      <c r="F66" s="18" t="inlineStr">
        <is>
          <t>เก็บเพิ่ม • การลงทุน</t>
        </is>
      </c>
      <c r="G66" s="18" t="inlineStr">
        <is>
          <t>FIN2101</t>
        </is>
      </c>
      <c r="H66" s="18" t="inlineStr">
        <is>
          <t>✓</t>
        </is>
      </c>
    </row>
    <row r="67">
      <c r="A67" s="13" t="inlineStr"/>
      <c r="B67" s="13" t="inlineStr">
        <is>
          <t>RAM1211</t>
        </is>
      </c>
      <c r="C67" s="14" t="inlineStr">
        <is>
          <t>Principles of Entrepreneurship</t>
        </is>
      </c>
      <c r="D67" s="13" t="n">
        <v>3</v>
      </c>
      <c r="E67" s="10" t="n">
        <v>2</v>
      </c>
      <c r="F67" s="14" t="inlineStr">
        <is>
          <t>ศึกษาทั่วไป 1.2</t>
        </is>
      </c>
      <c r="G67" s="14" t="inlineStr">
        <is>
          <t>-</t>
        </is>
      </c>
      <c r="H67" s="14" t="inlineStr">
        <is>
          <t>✓</t>
        </is>
      </c>
    </row>
    <row r="68">
      <c r="A68" s="11" t="inlineStr"/>
      <c r="B68" s="11" t="inlineStr">
        <is>
          <t>STA4101</t>
        </is>
      </c>
      <c r="C68" s="12" t="inlineStr">
        <is>
          <t>Theory of Statistics 1</t>
        </is>
      </c>
      <c r="D68" s="11" t="n">
        <v>3</v>
      </c>
      <c r="E68" s="19" t="n">
        <v>9</v>
      </c>
      <c r="F68" s="12" t="inlineStr">
        <is>
          <t>★ Math Stats (MFE core)</t>
        </is>
      </c>
      <c r="G68" s="12" t="inlineStr">
        <is>
          <t>STA3102</t>
        </is>
      </c>
      <c r="H68" s="12" t="inlineStr">
        <is>
          <t>⬅ ย้ายจากปี3/ท2</t>
        </is>
      </c>
    </row>
  </sheetData>
  <mergeCells count="10">
    <mergeCell ref="A13:G13"/>
    <mergeCell ref="A61:G61"/>
    <mergeCell ref="A45:G45"/>
    <mergeCell ref="A21:G21"/>
    <mergeCell ref="A2:H2"/>
    <mergeCell ref="A53:G53"/>
    <mergeCell ref="A29:G29"/>
    <mergeCell ref="A1:H1"/>
    <mergeCell ref="A5:G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5" customWidth="1" min="4" max="4"/>
    <col width="8" customWidth="1" min="5" max="5"/>
    <col width="7" customWidth="1" min="6" max="6"/>
    <col width="10" customWidth="1" min="7" max="7"/>
    <col width="8" customWidth="1" min="9" max="9"/>
    <col width="8" customWidth="1" min="10" max="10"/>
    <col width="7" customWidth="1" min="11" max="11"/>
  </cols>
  <sheetData>
    <row r="1" ht="24" customHeight="1">
      <c r="A1" s="1" t="inlineStr">
        <is>
          <t>🎓 คำนวณ GPAX อัตโนมัติ — เลือกเกรดในช่องสีเหลือง</t>
        </is>
      </c>
    </row>
    <row r="2">
      <c r="A2" s="2" t="inlineStr">
        <is>
          <t>A=4.0 B+=3.5 B=3.0 C+=2.5 C=2.0 D+=1.5 D=1.0 F=0.0 • GPAX=Σ(แต้ม×นก.)÷Σนก.ที่มีเกรด (F นับ 0 แต่รวมหน่วยกิต)</t>
        </is>
      </c>
    </row>
    <row r="4">
      <c r="A4" s="20" t="inlineStr">
        <is>
          <t>📊 สรุปผล (คำนวณอัตโนมัติ)</t>
        </is>
      </c>
      <c r="I4" s="3" t="inlineStr">
        <is>
          <t>GPA รายเทอม</t>
        </is>
      </c>
    </row>
    <row r="5" ht="30" customHeight="1">
      <c r="A5" s="5" t="inlineStr">
        <is>
          <t>GPAX สะสม</t>
        </is>
      </c>
      <c r="C5" s="21">
        <f>IF($G$5=0,"",SUM($G$10:$G$70)/$G$5)</f>
        <v/>
      </c>
      <c r="E5" s="5" t="inlineStr">
        <is>
          <t>หน่วยกิตที่มีเกรดแล้ว</t>
        </is>
      </c>
      <c r="G5" s="22">
        <f>SUMPRODUCT(($E$10:$E$70&lt;&gt;"")*$D$10:$D$70)</f>
        <v/>
      </c>
      <c r="I5" s="7" t="inlineStr">
        <is>
          <t>เทอม</t>
        </is>
      </c>
      <c r="J5" s="7" t="inlineStr">
        <is>
          <t>GPA</t>
        </is>
      </c>
      <c r="K5" s="7" t="inlineStr">
        <is>
          <t>นก.</t>
        </is>
      </c>
    </row>
    <row r="6">
      <c r="A6" s="5" t="inlineStr">
        <is>
          <t>เทียบเกียรตินิยม*</t>
        </is>
      </c>
      <c r="C6" s="23">
        <f>IF($C$5="","-",IF($C$5&gt;=3.8,"อันดับ 1 เหรียญทอง 🥇",IF($C$5&gt;=3.6,"อันดับ 1 🏆",IF($C$5&gt;=3.3,"อันดับ 2 🥈","ไม่เข้าเกณฑ์"))))</f>
        <v/>
      </c>
      <c r="E6" s="5" t="inlineStr">
        <is>
          <t>หน่วยกิตรวมทั้งหมด</t>
        </is>
      </c>
      <c r="G6" s="22">
        <f>SUM($D$10:$D$70)</f>
        <v/>
      </c>
      <c r="I6" s="24" t="inlineStr">
        <is>
          <t>1/1</t>
        </is>
      </c>
      <c r="J6" s="25">
        <f>IF(SUMPRODUCT(($A$10:$A$70=$I6)*($E$10:$E$70&lt;&gt;"")*$D$10:$D$70)=0,"",SUMPRODUCT(($A$10:$A$70=$I6)*$G$10:$G$70)/SUMPRODUCT(($A$10:$A$70=$I6)*($E$10:$E$70&lt;&gt;"")*$D$10:$D$70))</f>
        <v/>
      </c>
      <c r="K6" s="26">
        <f>SUMPRODUCT(($A$10:$A$70=$I6)*($E$10:$E$70&lt;&gt;"")*$D$10:$D$70)</f>
        <v/>
      </c>
    </row>
    <row r="7">
      <c r="A7" s="5" t="inlineStr">
        <is>
          <t>🎯 ตั้งเป้า GPAX (กรอก)</t>
        </is>
      </c>
      <c r="C7" s="27" t="n">
        <v>3.8</v>
      </c>
      <c r="E7" s="5" t="inlineStr">
        <is>
          <t>ต้องได้เฉลี่ยอีก (เต็ม 4)</t>
        </is>
      </c>
      <c r="G7" s="25">
        <f>IF(($G$6-$G$5)&lt;=0,"-",IF($C$7="","",($C$7*$G$6-SUM($G$10:$G$70))/($G$6-$G$5)))</f>
        <v/>
      </c>
      <c r="I7" s="24" t="inlineStr">
        <is>
          <t>1/2</t>
        </is>
      </c>
      <c r="J7" s="25">
        <f>IF(SUMPRODUCT(($A$10:$A$70=$I7)*($E$10:$E$70&lt;&gt;"")*$D$10:$D$70)=0,"",SUMPRODUCT(($A$10:$A$70=$I7)*$G$10:$G$70)/SUMPRODUCT(($A$10:$A$70=$I7)*($E$10:$E$70&lt;&gt;"")*$D$10:$D$70))</f>
        <v/>
      </c>
      <c r="K7" s="26">
        <f>SUMPRODUCT(($A$10:$A$70=$I7)*($E$10:$E$70&lt;&gt;"")*$D$10:$D$70)</f>
        <v/>
      </c>
    </row>
    <row r="8" ht="22" customHeight="1">
      <c r="A8" s="28" t="inlineStr">
        <is>
          <t>เกณฑ์เกียรตินิยม: เหรียญทอง ≥3.80 | อันดับ1 = 3.60–3.79 | อันดับ2 = 3.30–3.59 (ต่ำกว่า 3.30 = ไม่เข้าเกณฑ์) • ดูชีต 'เทียบ ป.โท Top-U' ประกอบ</t>
        </is>
      </c>
      <c r="I8" s="24" t="inlineStr">
        <is>
          <t>2/1</t>
        </is>
      </c>
      <c r="J8" s="25">
        <f>IF(SUMPRODUCT(($A$10:$A$70=$I8)*($E$10:$E$70&lt;&gt;"")*$D$10:$D$70)=0,"",SUMPRODUCT(($A$10:$A$70=$I8)*$G$10:$G$70)/SUMPRODUCT(($A$10:$A$70=$I8)*($E$10:$E$70&lt;&gt;"")*$D$10:$D$70))</f>
        <v/>
      </c>
      <c r="K8" s="26">
        <f>SUMPRODUCT(($A$10:$A$70=$I8)*($E$10:$E$70&lt;&gt;"")*$D$10:$D$70)</f>
        <v/>
      </c>
    </row>
    <row r="9">
      <c r="A9" s="3" t="inlineStr">
        <is>
          <t>ปี/เทอม</t>
        </is>
      </c>
      <c r="B9" s="3" t="inlineStr">
        <is>
          <t>รหัส</t>
        </is>
      </c>
      <c r="C9" s="3" t="inlineStr">
        <is>
          <t>ชื่อวิชา</t>
        </is>
      </c>
      <c r="D9" s="3" t="inlineStr">
        <is>
          <t>นก.</t>
        </is>
      </c>
      <c r="E9" s="3" t="inlineStr">
        <is>
          <t>เกรด</t>
        </is>
      </c>
      <c r="F9" s="3" t="inlineStr">
        <is>
          <t>แต้ม</t>
        </is>
      </c>
      <c r="G9" s="3" t="inlineStr">
        <is>
          <t>แต้ม×นก.</t>
        </is>
      </c>
      <c r="I9" s="24" t="inlineStr">
        <is>
          <t>2/2</t>
        </is>
      </c>
      <c r="J9" s="25">
        <f>IF(SUMPRODUCT(($A$10:$A$70=$I9)*($E$10:$E$70&lt;&gt;"")*$D$10:$D$70)=0,"",SUMPRODUCT(($A$10:$A$70=$I9)*$G$10:$G$70)/SUMPRODUCT(($A$10:$A$70=$I9)*($E$10:$E$70&lt;&gt;"")*$D$10:$D$70))</f>
        <v/>
      </c>
      <c r="K9" s="26">
        <f>SUMPRODUCT(($A$10:$A$70=$I9)*($E$10:$E$70&lt;&gt;"")*$D$10:$D$70)</f>
        <v/>
      </c>
    </row>
    <row r="10">
      <c r="A10" s="24" t="inlineStr">
        <is>
          <t>1/1</t>
        </is>
      </c>
      <c r="B10" s="24" t="inlineStr">
        <is>
          <t>ECO1121</t>
        </is>
      </c>
      <c r="C10" s="29" t="inlineStr">
        <is>
          <t>หลักเศรษฐศาสตร์จุลภาค</t>
        </is>
      </c>
      <c r="D10" s="24" t="n">
        <v>3</v>
      </c>
      <c r="E10" s="30" t="n"/>
      <c r="F10" s="31">
        <f>IFERROR(VLOOKUP($E10,Scale!$A$2:$B$9,2,FALSE),"")</f>
        <v/>
      </c>
      <c r="G10" s="31">
        <f>IF($E10="",0,$F10*$D10)</f>
        <v/>
      </c>
      <c r="I10" s="24" t="inlineStr">
        <is>
          <t>3/1</t>
        </is>
      </c>
      <c r="J10" s="25">
        <f>IF(SUMPRODUCT(($A$10:$A$70=$I10)*($E$10:$E$70&lt;&gt;"")*$D$10:$D$70)=0,"",SUMPRODUCT(($A$10:$A$70=$I10)*$G$10:$G$70)/SUMPRODUCT(($A$10:$A$70=$I10)*($E$10:$E$70&lt;&gt;"")*$D$10:$D$70))</f>
        <v/>
      </c>
      <c r="K10" s="26">
        <f>SUMPRODUCT(($A$10:$A$70=$I10)*($E$10:$E$70&lt;&gt;"")*$D$10:$D$70)</f>
        <v/>
      </c>
    </row>
    <row r="11">
      <c r="A11" s="24" t="inlineStr">
        <is>
          <t>1/1</t>
        </is>
      </c>
      <c r="B11" s="24" t="inlineStr">
        <is>
          <t>ECO1123</t>
        </is>
      </c>
      <c r="C11" s="29" t="inlineStr">
        <is>
          <t>คณิต–สถิติเบื้องต้นสำหรับ ศ.</t>
        </is>
      </c>
      <c r="D11" s="24" t="n">
        <v>3</v>
      </c>
      <c r="E11" s="30" t="n"/>
      <c r="F11" s="31">
        <f>IFERROR(VLOOKUP($E11,Scale!$A$2:$B$9,2,FALSE),"")</f>
        <v/>
      </c>
      <c r="G11" s="31">
        <f>IF($E11="",0,$F11*$D11)</f>
        <v/>
      </c>
      <c r="I11" s="24" t="inlineStr">
        <is>
          <t>3/2</t>
        </is>
      </c>
      <c r="J11" s="25">
        <f>IF(SUMPRODUCT(($A$10:$A$70=$I11)*($E$10:$E$70&lt;&gt;"")*$D$10:$D$70)=0,"",SUMPRODUCT(($A$10:$A$70=$I11)*$G$10:$G$70)/SUMPRODUCT(($A$10:$A$70=$I11)*($E$10:$E$70&lt;&gt;"")*$D$10:$D$70))</f>
        <v/>
      </c>
      <c r="K11" s="26">
        <f>SUMPRODUCT(($A$10:$A$70=$I11)*($E$10:$E$70&lt;&gt;"")*$D$10:$D$70)</f>
        <v/>
      </c>
    </row>
    <row r="12">
      <c r="A12" s="24" t="inlineStr">
        <is>
          <t>1/1</t>
        </is>
      </c>
      <c r="B12" s="24" t="inlineStr">
        <is>
          <t>ACC1103</t>
        </is>
      </c>
      <c r="C12" s="29" t="inlineStr">
        <is>
          <t>การบัญชีการเงิน</t>
        </is>
      </c>
      <c r="D12" s="24" t="n">
        <v>3</v>
      </c>
      <c r="E12" s="30" t="n"/>
      <c r="F12" s="31">
        <f>IFERROR(VLOOKUP($E12,Scale!$A$2:$B$9,2,FALSE),"")</f>
        <v/>
      </c>
      <c r="G12" s="31">
        <f>IF($E12="",0,$F12*$D12)</f>
        <v/>
      </c>
      <c r="I12" s="24" t="inlineStr">
        <is>
          <t>4/1</t>
        </is>
      </c>
      <c r="J12" s="25">
        <f>IF(SUMPRODUCT(($A$10:$A$70=$I12)*($E$10:$E$70&lt;&gt;"")*$D$10:$D$70)=0,"",SUMPRODUCT(($A$10:$A$70=$I12)*$G$10:$G$70)/SUMPRODUCT(($A$10:$A$70=$I12)*($E$10:$E$70&lt;&gt;"")*$D$10:$D$70))</f>
        <v/>
      </c>
      <c r="K12" s="26">
        <f>SUMPRODUCT(($A$10:$A$70=$I12)*($E$10:$E$70&lt;&gt;"")*$D$10:$D$70)</f>
        <v/>
      </c>
    </row>
    <row r="13">
      <c r="A13" s="24" t="inlineStr">
        <is>
          <t>1/1</t>
        </is>
      </c>
      <c r="B13" s="24" t="inlineStr">
        <is>
          <t>MTH1101</t>
        </is>
      </c>
      <c r="C13" s="29" t="inlineStr">
        <is>
          <t>Calculus &amp; Analytic Geometry I</t>
        </is>
      </c>
      <c r="D13" s="24" t="n">
        <v>3</v>
      </c>
      <c r="E13" s="30" t="n"/>
      <c r="F13" s="31">
        <f>IFERROR(VLOOKUP($E13,Scale!$A$2:$B$9,2,FALSE),"")</f>
        <v/>
      </c>
      <c r="G13" s="31">
        <f>IF($E13="",0,$F13*$D13)</f>
        <v/>
      </c>
      <c r="I13" s="24" t="inlineStr">
        <is>
          <t>4/2</t>
        </is>
      </c>
      <c r="J13" s="25">
        <f>IF(SUMPRODUCT(($A$10:$A$70=$I13)*($E$10:$E$70&lt;&gt;"")*$D$10:$D$70)=0,"",SUMPRODUCT(($A$10:$A$70=$I13)*$G$10:$G$70)/SUMPRODUCT(($A$10:$A$70=$I13)*($E$10:$E$70&lt;&gt;"")*$D$10:$D$70))</f>
        <v/>
      </c>
      <c r="K13" s="26">
        <f>SUMPRODUCT(($A$10:$A$70=$I13)*($E$10:$E$70&lt;&gt;"")*$D$10:$D$70)</f>
        <v/>
      </c>
    </row>
    <row r="14">
      <c r="A14" s="24" t="inlineStr">
        <is>
          <t>1/1</t>
        </is>
      </c>
      <c r="B14" s="24" t="inlineStr">
        <is>
          <t>RAM1111</t>
        </is>
      </c>
      <c r="C14" s="29" t="inlineStr">
        <is>
          <t>English in Daily Life</t>
        </is>
      </c>
      <c r="D14" s="24" t="n">
        <v>3</v>
      </c>
      <c r="E14" s="30" t="n"/>
      <c r="F14" s="31">
        <f>IFERROR(VLOOKUP($E14,Scale!$A$2:$B$9,2,FALSE),"")</f>
        <v/>
      </c>
      <c r="G14" s="31">
        <f>IF($E14="",0,$F14*$D14)</f>
        <v/>
      </c>
    </row>
    <row r="15">
      <c r="A15" s="24" t="inlineStr">
        <is>
          <t>1/1</t>
        </is>
      </c>
      <c r="B15" s="24" t="inlineStr">
        <is>
          <t>RAM1103</t>
        </is>
      </c>
      <c r="C15" s="29" t="inlineStr">
        <is>
          <t>Thai for Communication at Work</t>
        </is>
      </c>
      <c r="D15" s="24" t="n">
        <v>3</v>
      </c>
      <c r="E15" s="30" t="n"/>
      <c r="F15" s="31">
        <f>IFERROR(VLOOKUP($E15,Scale!$A$2:$B$9,2,FALSE),"")</f>
        <v/>
      </c>
      <c r="G15" s="31">
        <f>IF($E15="",0,$F15*$D15)</f>
        <v/>
      </c>
    </row>
    <row r="16">
      <c r="A16" s="24" t="inlineStr">
        <is>
          <t>1/1</t>
        </is>
      </c>
      <c r="B16" s="24" t="inlineStr">
        <is>
          <t>COS1101</t>
        </is>
      </c>
      <c r="C16" s="29" t="inlineStr">
        <is>
          <t>Introduction to Computer Science</t>
        </is>
      </c>
      <c r="D16" s="24" t="n">
        <v>3</v>
      </c>
      <c r="E16" s="30" t="n"/>
      <c r="F16" s="31">
        <f>IFERROR(VLOOKUP($E16,Scale!$A$2:$B$9,2,FALSE),"")</f>
        <v/>
      </c>
      <c r="G16" s="31">
        <f>IF($E16="",0,$F16*$D16)</f>
        <v/>
      </c>
    </row>
    <row r="17">
      <c r="A17" s="24" t="inlineStr">
        <is>
          <t>1/2</t>
        </is>
      </c>
      <c r="B17" s="24" t="inlineStr">
        <is>
          <t>ECO1122</t>
        </is>
      </c>
      <c r="C17" s="29" t="inlineStr">
        <is>
          <t>หลักเศรษฐศาสตร์มหภาค</t>
        </is>
      </c>
      <c r="D17" s="24" t="n">
        <v>3</v>
      </c>
      <c r="E17" s="30" t="n"/>
      <c r="F17" s="31">
        <f>IFERROR(VLOOKUP($E17,Scale!$A$2:$B$9,2,FALSE),"")</f>
        <v/>
      </c>
      <c r="G17" s="31">
        <f>IF($E17="",0,$F17*$D17)</f>
        <v/>
      </c>
    </row>
    <row r="18">
      <c r="A18" s="24" t="inlineStr">
        <is>
          <t>1/2</t>
        </is>
      </c>
      <c r="B18" s="24" t="inlineStr">
        <is>
          <t>MTH1102</t>
        </is>
      </c>
      <c r="C18" s="29" t="inlineStr">
        <is>
          <t>Calculus &amp; Analytic Geometry II</t>
        </is>
      </c>
      <c r="D18" s="24" t="n">
        <v>3</v>
      </c>
      <c r="E18" s="30" t="n"/>
      <c r="F18" s="31">
        <f>IFERROR(VLOOKUP($E18,Scale!$A$2:$B$9,2,FALSE),"")</f>
        <v/>
      </c>
      <c r="G18" s="31">
        <f>IF($E18="",0,$F18*$D18)</f>
        <v/>
      </c>
    </row>
    <row r="19">
      <c r="A19" s="24" t="inlineStr">
        <is>
          <t>1/2</t>
        </is>
      </c>
      <c r="B19" s="24" t="inlineStr">
        <is>
          <t>MTH2001</t>
        </is>
      </c>
      <c r="C19" s="29" t="inlineStr">
        <is>
          <t>Fundamental Concepts in Math 1</t>
        </is>
      </c>
      <c r="D19" s="24" t="n">
        <v>3</v>
      </c>
      <c r="E19" s="30" t="n"/>
      <c r="F19" s="31">
        <f>IFERROR(VLOOKUP($E19,Scale!$A$2:$B$9,2,FALSE),"")</f>
        <v/>
      </c>
      <c r="G19" s="31">
        <f>IF($E19="",0,$F19*$D19)</f>
        <v/>
      </c>
    </row>
    <row r="20">
      <c r="A20" s="24" t="inlineStr">
        <is>
          <t>1/2</t>
        </is>
      </c>
      <c r="B20" s="24" t="inlineStr">
        <is>
          <t>MTH2206</t>
        </is>
      </c>
      <c r="C20" s="29" t="inlineStr">
        <is>
          <t>Matrix Theory &amp; Linear Algebra 1</t>
        </is>
      </c>
      <c r="D20" s="24" t="n">
        <v>3</v>
      </c>
      <c r="E20" s="30" t="n"/>
      <c r="F20" s="31">
        <f>IFERROR(VLOOKUP($E20,Scale!$A$2:$B$9,2,FALSE),"")</f>
        <v/>
      </c>
      <c r="G20" s="31">
        <f>IF($E20="",0,$F20*$D20)</f>
        <v/>
      </c>
    </row>
    <row r="21">
      <c r="A21" s="24" t="inlineStr">
        <is>
          <t>1/2</t>
        </is>
      </c>
      <c r="B21" s="24" t="inlineStr">
        <is>
          <t>RAM1131</t>
        </is>
      </c>
      <c r="C21" s="29" t="inlineStr">
        <is>
          <t>Digital Literacy</t>
        </is>
      </c>
      <c r="D21" s="24" t="n">
        <v>3</v>
      </c>
      <c r="E21" s="30" t="n"/>
      <c r="F21" s="31">
        <f>IFERROR(VLOOKUP($E21,Scale!$A$2:$B$9,2,FALSE),"")</f>
        <v/>
      </c>
      <c r="G21" s="31">
        <f>IF($E21="",0,$F21*$D21)</f>
        <v/>
      </c>
    </row>
    <row r="22">
      <c r="A22" s="24" t="inlineStr">
        <is>
          <t>1/2</t>
        </is>
      </c>
      <c r="B22" s="24" t="inlineStr">
        <is>
          <t>RAM1301</t>
        </is>
      </c>
      <c r="C22" s="29" t="inlineStr">
        <is>
          <t>คุณธรรมคู่ความรู้</t>
        </is>
      </c>
      <c r="D22" s="24" t="n">
        <v>3</v>
      </c>
      <c r="E22" s="30" t="n"/>
      <c r="F22" s="31">
        <f>IFERROR(VLOOKUP($E22,Scale!$A$2:$B$9,2,FALSE),"")</f>
        <v/>
      </c>
      <c r="G22" s="31">
        <f>IF($E22="",0,$F22*$D22)</f>
        <v/>
      </c>
    </row>
    <row r="23">
      <c r="A23" s="24" t="inlineStr">
        <is>
          <t>1/2</t>
        </is>
      </c>
      <c r="B23" s="24" t="inlineStr">
        <is>
          <t>COS1103</t>
        </is>
      </c>
      <c r="C23" s="29" t="inlineStr">
        <is>
          <t>Algorithms and Programming</t>
        </is>
      </c>
      <c r="D23" s="24" t="n">
        <v>3</v>
      </c>
      <c r="E23" s="30" t="n"/>
      <c r="F23" s="31">
        <f>IFERROR(VLOOKUP($E23,Scale!$A$2:$B$9,2,FALSE),"")</f>
        <v/>
      </c>
      <c r="G23" s="31">
        <f>IF($E23="",0,$F23*$D23)</f>
        <v/>
      </c>
    </row>
    <row r="24">
      <c r="A24" s="24" t="inlineStr">
        <is>
          <t>2/1</t>
        </is>
      </c>
      <c r="B24" s="24" t="inlineStr">
        <is>
          <t>ECO2121</t>
        </is>
      </c>
      <c r="C24" s="29" t="inlineStr">
        <is>
          <t>ทฤษฎีจุลภาค 1</t>
        </is>
      </c>
      <c r="D24" s="24" t="n">
        <v>3</v>
      </c>
      <c r="E24" s="30" t="n"/>
      <c r="F24" s="31">
        <f>IFERROR(VLOOKUP($E24,Scale!$A$2:$B$9,2,FALSE),"")</f>
        <v/>
      </c>
      <c r="G24" s="31">
        <f>IF($E24="",0,$F24*$D24)</f>
        <v/>
      </c>
    </row>
    <row r="25">
      <c r="A25" s="24" t="inlineStr">
        <is>
          <t>2/1</t>
        </is>
      </c>
      <c r="B25" s="24" t="inlineStr">
        <is>
          <t>ECO2122</t>
        </is>
      </c>
      <c r="C25" s="29" t="inlineStr">
        <is>
          <t>ทฤษฎีมหภาค 1</t>
        </is>
      </c>
      <c r="D25" s="24" t="n">
        <v>3</v>
      </c>
      <c r="E25" s="30" t="n"/>
      <c r="F25" s="31">
        <f>IFERROR(VLOOKUP($E25,Scale!$A$2:$B$9,2,FALSE),"")</f>
        <v/>
      </c>
      <c r="G25" s="31">
        <f>IF($E25="",0,$F25*$D25)</f>
        <v/>
      </c>
    </row>
    <row r="26">
      <c r="A26" s="24" t="inlineStr">
        <is>
          <t>2/1</t>
        </is>
      </c>
      <c r="B26" s="24" t="inlineStr">
        <is>
          <t>ECO2125</t>
        </is>
      </c>
      <c r="C26" s="29" t="inlineStr">
        <is>
          <t>คณิตศาสตร์สำหรับเศรษฐศาสตร์</t>
        </is>
      </c>
      <c r="D26" s="24" t="n">
        <v>3</v>
      </c>
      <c r="E26" s="30" t="n"/>
      <c r="F26" s="31">
        <f>IFERROR(VLOOKUP($E26,Scale!$A$2:$B$9,2,FALSE),"")</f>
        <v/>
      </c>
      <c r="G26" s="31">
        <f>IF($E26="",0,$F26*$D26)</f>
        <v/>
      </c>
    </row>
    <row r="27">
      <c r="A27" s="24" t="inlineStr">
        <is>
          <t>2/1</t>
        </is>
      </c>
      <c r="B27" s="24" t="inlineStr">
        <is>
          <t>ECO2129</t>
        </is>
      </c>
      <c r="C27" s="29" t="inlineStr">
        <is>
          <t>เศรษฐกิจประเทศไทย</t>
        </is>
      </c>
      <c r="D27" s="24" t="n">
        <v>3</v>
      </c>
      <c r="E27" s="30" t="n"/>
      <c r="F27" s="31">
        <f>IFERROR(VLOOKUP($E27,Scale!$A$2:$B$9,2,FALSE),"")</f>
        <v/>
      </c>
      <c r="G27" s="31">
        <f>IF($E27="",0,$F27*$D27)</f>
        <v/>
      </c>
    </row>
    <row r="28">
      <c r="A28" s="24" t="inlineStr">
        <is>
          <t>2/1</t>
        </is>
      </c>
      <c r="B28" s="24" t="inlineStr">
        <is>
          <t>MTH2103</t>
        </is>
      </c>
      <c r="C28" s="29" t="inlineStr">
        <is>
          <t>Calculus &amp; Analytic Geometry III</t>
        </is>
      </c>
      <c r="D28" s="24" t="n">
        <v>3</v>
      </c>
      <c r="E28" s="30" t="n"/>
      <c r="F28" s="31">
        <f>IFERROR(VLOOKUP($E28,Scale!$A$2:$B$9,2,FALSE),"")</f>
        <v/>
      </c>
      <c r="G28" s="31">
        <f>IF($E28="",0,$F28*$D28)</f>
        <v/>
      </c>
    </row>
    <row r="29">
      <c r="A29" s="24" t="inlineStr">
        <is>
          <t>2/1</t>
        </is>
      </c>
      <c r="B29" s="24" t="inlineStr">
        <is>
          <t>STA3101</t>
        </is>
      </c>
      <c r="C29" s="29" t="inlineStr">
        <is>
          <t>Probability Theory 1</t>
        </is>
      </c>
      <c r="D29" s="24" t="n">
        <v>3</v>
      </c>
      <c r="E29" s="30" t="n"/>
      <c r="F29" s="31">
        <f>IFERROR(VLOOKUP($E29,Scale!$A$2:$B$9,2,FALSE),"")</f>
        <v/>
      </c>
      <c r="G29" s="31">
        <f>IF($E29="",0,$F29*$D29)</f>
        <v/>
      </c>
    </row>
    <row r="30">
      <c r="A30" s="24" t="inlineStr">
        <is>
          <t>2/1</t>
        </is>
      </c>
      <c r="B30" s="24" t="inlineStr">
        <is>
          <t>STA2003</t>
        </is>
      </c>
      <c r="C30" s="29" t="inlineStr">
        <is>
          <t>Principles of Statistics</t>
        </is>
      </c>
      <c r="D30" s="24" t="n">
        <v>3</v>
      </c>
      <c r="E30" s="30" t="n"/>
      <c r="F30" s="31">
        <f>IFERROR(VLOOKUP($E30,Scale!$A$2:$B$9,2,FALSE),"")</f>
        <v/>
      </c>
      <c r="G30" s="31">
        <f>IF($E30="",0,$F30*$D30)</f>
        <v/>
      </c>
    </row>
    <row r="31">
      <c r="A31" s="24" t="inlineStr">
        <is>
          <t>2/2</t>
        </is>
      </c>
      <c r="B31" s="24" t="inlineStr">
        <is>
          <t>ECO2123</t>
        </is>
      </c>
      <c r="C31" s="29" t="inlineStr">
        <is>
          <t>ทฤษฎีจุลภาค 2</t>
        </is>
      </c>
      <c r="D31" s="24" t="n">
        <v>3</v>
      </c>
      <c r="E31" s="30" t="n"/>
      <c r="F31" s="31">
        <f>IFERROR(VLOOKUP($E31,Scale!$A$2:$B$9,2,FALSE),"")</f>
        <v/>
      </c>
      <c r="G31" s="31">
        <f>IF($E31="",0,$F31*$D31)</f>
        <v/>
      </c>
    </row>
    <row r="32">
      <c r="A32" s="24" t="inlineStr">
        <is>
          <t>2/2</t>
        </is>
      </c>
      <c r="B32" s="24" t="inlineStr">
        <is>
          <t>ECO2124</t>
        </is>
      </c>
      <c r="C32" s="29" t="inlineStr">
        <is>
          <t>ทฤษฎีมหภาค 2</t>
        </is>
      </c>
      <c r="D32" s="24" t="n">
        <v>3</v>
      </c>
      <c r="E32" s="30" t="n"/>
      <c r="F32" s="31">
        <f>IFERROR(VLOOKUP($E32,Scale!$A$2:$B$9,2,FALSE),"")</f>
        <v/>
      </c>
      <c r="G32" s="31">
        <f>IF($E32="",0,$F32*$D32)</f>
        <v/>
      </c>
    </row>
    <row r="33">
      <c r="A33" s="24" t="inlineStr">
        <is>
          <t>2/2</t>
        </is>
      </c>
      <c r="B33" s="24" t="inlineStr">
        <is>
          <t>ECO2126</t>
        </is>
      </c>
      <c r="C33" s="29" t="inlineStr">
        <is>
          <t>สถิติสำหรับเศรษฐศาสตร์</t>
        </is>
      </c>
      <c r="D33" s="24" t="n">
        <v>3</v>
      </c>
      <c r="E33" s="30" t="n"/>
      <c r="F33" s="31">
        <f>IFERROR(VLOOKUP($E33,Scale!$A$2:$B$9,2,FALSE),"")</f>
        <v/>
      </c>
      <c r="G33" s="31">
        <f>IF($E33="",0,$F33*$D33)</f>
        <v/>
      </c>
    </row>
    <row r="34">
      <c r="A34" s="24" t="inlineStr">
        <is>
          <t>2/2</t>
        </is>
      </c>
      <c r="B34" s="24" t="inlineStr">
        <is>
          <t>MTH2104</t>
        </is>
      </c>
      <c r="C34" s="29" t="inlineStr">
        <is>
          <t>Advanced Calculus 1</t>
        </is>
      </c>
      <c r="D34" s="24" t="n">
        <v>3</v>
      </c>
      <c r="E34" s="30" t="n"/>
      <c r="F34" s="31">
        <f>IFERROR(VLOOKUP($E34,Scale!$A$2:$B$9,2,FALSE),"")</f>
        <v/>
      </c>
      <c r="G34" s="31">
        <f>IF($E34="",0,$F34*$D34)</f>
        <v/>
      </c>
    </row>
    <row r="35">
      <c r="A35" s="24" t="inlineStr">
        <is>
          <t>2/2</t>
        </is>
      </c>
      <c r="B35" s="24" t="inlineStr">
        <is>
          <t>MTH3204</t>
        </is>
      </c>
      <c r="C35" s="29" t="inlineStr">
        <is>
          <t>Matrix Theory &amp; Linear Algebra 2</t>
        </is>
      </c>
      <c r="D35" s="24" t="n">
        <v>3</v>
      </c>
      <c r="E35" s="30" t="n"/>
      <c r="F35" s="31">
        <f>IFERROR(VLOOKUP($E35,Scale!$A$2:$B$9,2,FALSE),"")</f>
        <v/>
      </c>
      <c r="G35" s="31">
        <f>IF($E35="",0,$F35*$D35)</f>
        <v/>
      </c>
    </row>
    <row r="36">
      <c r="A36" s="24" t="inlineStr">
        <is>
          <t>2/2</t>
        </is>
      </c>
      <c r="B36" s="24" t="inlineStr">
        <is>
          <t>RAM1141</t>
        </is>
      </c>
      <c r="C36" s="29" t="inlineStr">
        <is>
          <t>ศาสตร์แห่งบุคลิกภาพ</t>
        </is>
      </c>
      <c r="D36" s="24" t="n">
        <v>3</v>
      </c>
      <c r="E36" s="30" t="n"/>
      <c r="F36" s="31">
        <f>IFERROR(VLOOKUP($E36,Scale!$A$2:$B$9,2,FALSE),"")</f>
        <v/>
      </c>
      <c r="G36" s="31">
        <f>IF($E36="",0,$F36*$D36)</f>
        <v/>
      </c>
    </row>
    <row r="37">
      <c r="A37" s="24" t="inlineStr">
        <is>
          <t>2/2</t>
        </is>
      </c>
      <c r="B37" s="24" t="inlineStr">
        <is>
          <t>ACC2202</t>
        </is>
      </c>
      <c r="C37" s="29" t="inlineStr">
        <is>
          <t>Intermediate Accounting</t>
        </is>
      </c>
      <c r="D37" s="24" t="n">
        <v>3</v>
      </c>
      <c r="E37" s="30" t="n"/>
      <c r="F37" s="31">
        <f>IFERROR(VLOOKUP($E37,Scale!$A$2:$B$9,2,FALSE),"")</f>
        <v/>
      </c>
      <c r="G37" s="31">
        <f>IF($E37="",0,$F37*$D37)</f>
        <v/>
      </c>
    </row>
    <row r="38">
      <c r="A38" s="24" t="inlineStr">
        <is>
          <t>3/1</t>
        </is>
      </c>
      <c r="B38" s="24" t="inlineStr">
        <is>
          <t>ECO3121</t>
        </is>
      </c>
      <c r="C38" s="29" t="inlineStr">
        <is>
          <t>เศรษฐศาสตร์จุลภาคระดับสูง</t>
        </is>
      </c>
      <c r="D38" s="24" t="n">
        <v>3</v>
      </c>
      <c r="E38" s="30" t="n"/>
      <c r="F38" s="31">
        <f>IFERROR(VLOOKUP($E38,Scale!$A$2:$B$9,2,FALSE),"")</f>
        <v/>
      </c>
      <c r="G38" s="31">
        <f>IF($E38="",0,$F38*$D38)</f>
        <v/>
      </c>
    </row>
    <row r="39">
      <c r="A39" s="24" t="inlineStr">
        <is>
          <t>3/1</t>
        </is>
      </c>
      <c r="B39" s="24" t="inlineStr">
        <is>
          <t>ECO3123</t>
        </is>
      </c>
      <c r="C39" s="29" t="inlineStr">
        <is>
          <t>เศรษฐมิติเบื้องต้น</t>
        </is>
      </c>
      <c r="D39" s="24" t="n">
        <v>3</v>
      </c>
      <c r="E39" s="30" t="n"/>
      <c r="F39" s="31">
        <f>IFERROR(VLOOKUP($E39,Scale!$A$2:$B$9,2,FALSE),"")</f>
        <v/>
      </c>
      <c r="G39" s="31">
        <f>IF($E39="",0,$F39*$D39)</f>
        <v/>
      </c>
    </row>
    <row r="40">
      <c r="A40" s="24" t="inlineStr">
        <is>
          <t>3/1</t>
        </is>
      </c>
      <c r="B40" s="24" t="inlineStr">
        <is>
          <t>ECO3320</t>
        </is>
      </c>
      <c r="C40" s="29" t="inlineStr">
        <is>
          <t>เศรษฐศาสตร์การเงินและการธนาคาร</t>
        </is>
      </c>
      <c r="D40" s="24" t="n">
        <v>3</v>
      </c>
      <c r="E40" s="30" t="n"/>
      <c r="F40" s="31">
        <f>IFERROR(VLOOKUP($E40,Scale!$A$2:$B$9,2,FALSE),"")</f>
        <v/>
      </c>
      <c r="G40" s="31">
        <f>IF($E40="",0,$F40*$D40)</f>
        <v/>
      </c>
    </row>
    <row r="41">
      <c r="A41" s="24" t="inlineStr">
        <is>
          <t>3/1</t>
        </is>
      </c>
      <c r="B41" s="24" t="inlineStr">
        <is>
          <t>MTH2106</t>
        </is>
      </c>
      <c r="C41" s="29" t="inlineStr">
        <is>
          <t>Differential Equations</t>
        </is>
      </c>
      <c r="D41" s="24" t="n">
        <v>3</v>
      </c>
      <c r="E41" s="30" t="n"/>
      <c r="F41" s="31">
        <f>IFERROR(VLOOKUP($E41,Scale!$A$2:$B$9,2,FALSE),"")</f>
        <v/>
      </c>
      <c r="G41" s="31">
        <f>IF($E41="",0,$F41*$D41)</f>
        <v/>
      </c>
    </row>
    <row r="42">
      <c r="A42" s="24" t="inlineStr">
        <is>
          <t>3/1</t>
        </is>
      </c>
      <c r="B42" s="24" t="inlineStr">
        <is>
          <t>STA3102</t>
        </is>
      </c>
      <c r="C42" s="29" t="inlineStr">
        <is>
          <t>Probability Theory 2</t>
        </is>
      </c>
      <c r="D42" s="24" t="n">
        <v>3</v>
      </c>
      <c r="E42" s="30" t="n"/>
      <c r="F42" s="31">
        <f>IFERROR(VLOOKUP($E42,Scale!$A$2:$B$9,2,FALSE),"")</f>
        <v/>
      </c>
      <c r="G42" s="31">
        <f>IF($E42="",0,$F42*$D42)</f>
        <v/>
      </c>
    </row>
    <row r="43">
      <c r="A43" s="24" t="inlineStr">
        <is>
          <t>3/1</t>
        </is>
      </c>
      <c r="B43" s="24" t="inlineStr">
        <is>
          <t>ECO2130</t>
        </is>
      </c>
      <c r="C43" s="29" t="inlineStr">
        <is>
          <t>English for Economics</t>
        </is>
      </c>
      <c r="D43" s="24" t="n">
        <v>3</v>
      </c>
      <c r="E43" s="30" t="n"/>
      <c r="F43" s="31">
        <f>IFERROR(VLOOKUP($E43,Scale!$A$2:$B$9,2,FALSE),"")</f>
        <v/>
      </c>
      <c r="G43" s="31">
        <f>IF($E43="",0,$F43*$D43)</f>
        <v/>
      </c>
    </row>
    <row r="44">
      <c r="A44" s="24" t="inlineStr">
        <is>
          <t>3/1</t>
        </is>
      </c>
      <c r="B44" s="24" t="inlineStr">
        <is>
          <t>FIN2101</t>
        </is>
      </c>
      <c r="C44" s="29" t="inlineStr">
        <is>
          <t>Business Finance</t>
        </is>
      </c>
      <c r="D44" s="24" t="n">
        <v>3</v>
      </c>
      <c r="E44" s="30" t="n"/>
      <c r="F44" s="31">
        <f>IFERROR(VLOOKUP($E44,Scale!$A$2:$B$9,2,FALSE),"")</f>
        <v/>
      </c>
      <c r="G44" s="31">
        <f>IF($E44="",0,$F44*$D44)</f>
        <v/>
      </c>
    </row>
    <row r="45">
      <c r="A45" s="24" t="inlineStr">
        <is>
          <t>3/2</t>
        </is>
      </c>
      <c r="B45" s="24" t="inlineStr">
        <is>
          <t>ECO3122</t>
        </is>
      </c>
      <c r="C45" s="29" t="inlineStr">
        <is>
          <t>เศรษฐศาสตร์มหภาคระดับสูง</t>
        </is>
      </c>
      <c r="D45" s="24" t="n">
        <v>3</v>
      </c>
      <c r="E45" s="30" t="n"/>
      <c r="F45" s="31">
        <f>IFERROR(VLOOKUP($E45,Scale!$A$2:$B$9,2,FALSE),"")</f>
        <v/>
      </c>
      <c r="G45" s="31">
        <f>IF($E45="",0,$F45*$D45)</f>
        <v/>
      </c>
    </row>
    <row r="46">
      <c r="A46" s="24" t="inlineStr">
        <is>
          <t>3/2</t>
        </is>
      </c>
      <c r="B46" s="24" t="inlineStr">
        <is>
          <t>ECO3323</t>
        </is>
      </c>
      <c r="C46" s="29" t="inlineStr">
        <is>
          <t>การบริหารความเสี่ยงองค์กร</t>
        </is>
      </c>
      <c r="D46" s="24" t="n">
        <v>3</v>
      </c>
      <c r="E46" s="30" t="n"/>
      <c r="F46" s="31">
        <f>IFERROR(VLOOKUP($E46,Scale!$A$2:$B$9,2,FALSE),"")</f>
        <v/>
      </c>
      <c r="G46" s="31">
        <f>IF($E46="",0,$F46*$D46)</f>
        <v/>
      </c>
    </row>
    <row r="47">
      <c r="A47" s="24" t="inlineStr">
        <is>
          <t>3/2</t>
        </is>
      </c>
      <c r="B47" s="24" t="inlineStr">
        <is>
          <t>ECO2128</t>
        </is>
      </c>
      <c r="C47" s="29" t="inlineStr">
        <is>
          <t>ระเบียบวิธีวิจัยทางเศรษฐศาสตร์</t>
        </is>
      </c>
      <c r="D47" s="24" t="n">
        <v>3</v>
      </c>
      <c r="E47" s="30" t="n"/>
      <c r="F47" s="31">
        <f>IFERROR(VLOOKUP($E47,Scale!$A$2:$B$9,2,FALSE),"")</f>
        <v/>
      </c>
      <c r="G47" s="31">
        <f>IF($E47="",0,$F47*$D47)</f>
        <v/>
      </c>
    </row>
    <row r="48">
      <c r="A48" s="24" t="inlineStr">
        <is>
          <t>3/2</t>
        </is>
      </c>
      <c r="B48" s="24" t="inlineStr">
        <is>
          <t>MTH4404</t>
        </is>
      </c>
      <c r="C48" s="29" t="inlineStr">
        <is>
          <t>Introduction to Real Analysis 1</t>
        </is>
      </c>
      <c r="D48" s="24" t="n">
        <v>3</v>
      </c>
      <c r="E48" s="30" t="n"/>
      <c r="F48" s="31">
        <f>IFERROR(VLOOKUP($E48,Scale!$A$2:$B$9,2,FALSE),"")</f>
        <v/>
      </c>
      <c r="G48" s="31">
        <f>IF($E48="",0,$F48*$D48)</f>
        <v/>
      </c>
    </row>
    <row r="49">
      <c r="A49" s="24" t="inlineStr">
        <is>
          <t>3/2</t>
        </is>
      </c>
      <c r="B49" s="24" t="inlineStr">
        <is>
          <t>ACC4209</t>
        </is>
      </c>
      <c r="C49" s="29" t="inlineStr">
        <is>
          <t>Financial Reporting &amp; Analysis</t>
        </is>
      </c>
      <c r="D49" s="24" t="n">
        <v>3</v>
      </c>
      <c r="E49" s="30" t="n"/>
      <c r="F49" s="31">
        <f>IFERROR(VLOOKUP($E49,Scale!$A$2:$B$9,2,FALSE),"")</f>
        <v/>
      </c>
      <c r="G49" s="31">
        <f>IF($E49="",0,$F49*$D49)</f>
        <v/>
      </c>
    </row>
    <row r="50">
      <c r="A50" s="24" t="inlineStr">
        <is>
          <t>3/2</t>
        </is>
      </c>
      <c r="B50" s="24" t="inlineStr">
        <is>
          <t>SDM2102</t>
        </is>
      </c>
      <c r="C50" s="29" t="inlineStr">
        <is>
          <t>Foundations of Python Programming</t>
        </is>
      </c>
      <c r="D50" s="24" t="n">
        <v>3</v>
      </c>
      <c r="E50" s="30" t="n"/>
      <c r="F50" s="31">
        <f>IFERROR(VLOOKUP($E50,Scale!$A$2:$B$9,2,FALSE),"")</f>
        <v/>
      </c>
      <c r="G50" s="31">
        <f>IF($E50="",0,$F50*$D50)</f>
        <v/>
      </c>
    </row>
    <row r="51">
      <c r="A51" s="24" t="inlineStr">
        <is>
          <t>3/2</t>
        </is>
      </c>
      <c r="B51" s="24" t="inlineStr">
        <is>
          <t>RAM1312</t>
        </is>
      </c>
      <c r="C51" s="29" t="inlineStr">
        <is>
          <t>Contemporary Culture &amp; Digital Disruption</t>
        </is>
      </c>
      <c r="D51" s="24" t="n">
        <v>3</v>
      </c>
      <c r="E51" s="30" t="n"/>
      <c r="F51" s="31">
        <f>IFERROR(VLOOKUP($E51,Scale!$A$2:$B$9,2,FALSE),"")</f>
        <v/>
      </c>
      <c r="G51" s="31">
        <f>IF($E51="",0,$F51*$D51)</f>
        <v/>
      </c>
    </row>
    <row r="52">
      <c r="A52" s="24" t="inlineStr">
        <is>
          <t>4/1</t>
        </is>
      </c>
      <c r="B52" s="24" t="inlineStr">
        <is>
          <t>ECO4124</t>
        </is>
      </c>
      <c r="C52" s="29" t="inlineStr">
        <is>
          <t>Time-Series Econometrics</t>
        </is>
      </c>
      <c r="D52" s="24" t="n">
        <v>3</v>
      </c>
      <c r="E52" s="30" t="n"/>
      <c r="F52" s="31">
        <f>IFERROR(VLOOKUP($E52,Scale!$A$2:$B$9,2,FALSE),"")</f>
        <v/>
      </c>
      <c r="G52" s="31">
        <f>IF($E52="",0,$F52*$D52)</f>
        <v/>
      </c>
    </row>
    <row r="53">
      <c r="A53" s="24" t="inlineStr">
        <is>
          <t>4/1</t>
        </is>
      </c>
      <c r="B53" s="24" t="inlineStr">
        <is>
          <t>ECO4125</t>
        </is>
      </c>
      <c r="C53" s="29" t="inlineStr">
        <is>
          <t>Microeconometrics</t>
        </is>
      </c>
      <c r="D53" s="24" t="n">
        <v>3</v>
      </c>
      <c r="E53" s="30" t="n"/>
      <c r="F53" s="31">
        <f>IFERROR(VLOOKUP($E53,Scale!$A$2:$B$9,2,FALSE),"")</f>
        <v/>
      </c>
      <c r="G53" s="31">
        <f>IF($E53="",0,$F53*$D53)</f>
        <v/>
      </c>
    </row>
    <row r="54">
      <c r="A54" s="24" t="inlineStr">
        <is>
          <t>4/1</t>
        </is>
      </c>
      <c r="B54" s="24" t="inlineStr">
        <is>
          <t>ECO4326</t>
        </is>
      </c>
      <c r="C54" s="29" t="inlineStr">
        <is>
          <t>Mathematical Finance</t>
        </is>
      </c>
      <c r="D54" s="24" t="n">
        <v>3</v>
      </c>
      <c r="E54" s="30" t="n"/>
      <c r="F54" s="31">
        <f>IFERROR(VLOOKUP($E54,Scale!$A$2:$B$9,2,FALSE),"")</f>
        <v/>
      </c>
      <c r="G54" s="31">
        <f>IF($E54="",0,$F54*$D54)</f>
        <v/>
      </c>
    </row>
    <row r="55">
      <c r="A55" s="24" t="inlineStr">
        <is>
          <t>4/1</t>
        </is>
      </c>
      <c r="B55" s="24" t="inlineStr">
        <is>
          <t>MTH3611</t>
        </is>
      </c>
      <c r="C55" s="29" t="inlineStr">
        <is>
          <t>Mathematical Stochastic Models</t>
        </is>
      </c>
      <c r="D55" s="24" t="n">
        <v>3</v>
      </c>
      <c r="E55" s="30" t="n"/>
      <c r="F55" s="31">
        <f>IFERROR(VLOOKUP($E55,Scale!$A$2:$B$9,2,FALSE),"")</f>
        <v/>
      </c>
      <c r="G55" s="31">
        <f>IF($E55="",0,$F55*$D55)</f>
        <v/>
      </c>
    </row>
    <row r="56">
      <c r="A56" s="24" t="inlineStr">
        <is>
          <t>4/1</t>
        </is>
      </c>
      <c r="B56" s="24" t="inlineStr">
        <is>
          <t>FIN3211</t>
        </is>
      </c>
      <c r="C56" s="29" t="inlineStr">
        <is>
          <t>Financial Management (Corp Finance)</t>
        </is>
      </c>
      <c r="D56" s="24" t="n">
        <v>3</v>
      </c>
      <c r="E56" s="30" t="n"/>
      <c r="F56" s="31">
        <f>IFERROR(VLOOKUP($E56,Scale!$A$2:$B$9,2,FALSE),"")</f>
        <v/>
      </c>
      <c r="G56" s="31">
        <f>IF($E56="",0,$F56*$D56)</f>
        <v/>
      </c>
    </row>
    <row r="57">
      <c r="A57" s="24" t="inlineStr">
        <is>
          <t>4/1</t>
        </is>
      </c>
      <c r="B57" s="24" t="inlineStr">
        <is>
          <t>RAM1204</t>
        </is>
      </c>
      <c r="C57" s="29" t="inlineStr">
        <is>
          <t>Mathematics &amp; Statistics for Daily Life</t>
        </is>
      </c>
      <c r="D57" s="24" t="n">
        <v>3</v>
      </c>
      <c r="E57" s="30" t="n"/>
      <c r="F57" s="31">
        <f>IFERROR(VLOOKUP($E57,Scale!$A$2:$B$9,2,FALSE),"")</f>
        <v/>
      </c>
      <c r="G57" s="31">
        <f>IF($E57="",0,$F57*$D57)</f>
        <v/>
      </c>
    </row>
    <row r="58">
      <c r="A58" s="24" t="inlineStr">
        <is>
          <t>4/1</t>
        </is>
      </c>
      <c r="B58" s="24" t="inlineStr">
        <is>
          <t>RAM1302</t>
        </is>
      </c>
      <c r="C58" s="29" t="inlineStr">
        <is>
          <t>Politics and Law in Daily Life</t>
        </is>
      </c>
      <c r="D58" s="24" t="n">
        <v>3</v>
      </c>
      <c r="E58" s="30" t="n"/>
      <c r="F58" s="31">
        <f>IFERROR(VLOOKUP($E58,Scale!$A$2:$B$9,2,FALSE),"")</f>
        <v/>
      </c>
      <c r="G58" s="31">
        <f>IF($E58="",0,$F58*$D58)</f>
        <v/>
      </c>
    </row>
    <row r="59">
      <c r="A59" s="24" t="inlineStr">
        <is>
          <t>4/2</t>
        </is>
      </c>
      <c r="B59" s="24" t="inlineStr">
        <is>
          <t>ECO4123</t>
        </is>
      </c>
      <c r="C59" s="29" t="inlineStr">
        <is>
          <t>Game Theory (ทฤษฎีเกม)</t>
        </is>
      </c>
      <c r="D59" s="24" t="n">
        <v>3</v>
      </c>
      <c r="E59" s="30" t="n"/>
      <c r="F59" s="31">
        <f>IFERROR(VLOOKUP($E59,Scale!$A$2:$B$9,2,FALSE),"")</f>
        <v/>
      </c>
      <c r="G59" s="31">
        <f>IF($E59="",0,$F59*$D59)</f>
        <v/>
      </c>
    </row>
    <row r="60">
      <c r="A60" s="24" t="inlineStr">
        <is>
          <t>4/2</t>
        </is>
      </c>
      <c r="B60" s="24" t="inlineStr">
        <is>
          <t>ECO4327</t>
        </is>
      </c>
      <c r="C60" s="29" t="inlineStr">
        <is>
          <t>Financial Risk Mgmt &amp; Derivatives</t>
        </is>
      </c>
      <c r="D60" s="24" t="n">
        <v>3</v>
      </c>
      <c r="E60" s="30" t="n"/>
      <c r="F60" s="31">
        <f>IFERROR(VLOOKUP($E60,Scale!$A$2:$B$9,2,FALSE),"")</f>
        <v/>
      </c>
      <c r="G60" s="31">
        <f>IF($E60="",0,$F60*$D60)</f>
        <v/>
      </c>
    </row>
    <row r="61">
      <c r="A61" s="24" t="inlineStr">
        <is>
          <t>4/2</t>
        </is>
      </c>
      <c r="B61" s="24" t="inlineStr">
        <is>
          <t>RAM1112</t>
        </is>
      </c>
      <c r="C61" s="29" t="inlineStr">
        <is>
          <t>ภาษาและวัฒนธรรมอังกฤษ</t>
        </is>
      </c>
      <c r="D61" s="24" t="n">
        <v>3</v>
      </c>
      <c r="E61" s="30" t="n"/>
      <c r="F61" s="31">
        <f>IFERROR(VLOOKUP($E61,Scale!$A$2:$B$9,2,FALSE),"")</f>
        <v/>
      </c>
      <c r="G61" s="31">
        <f>IF($E61="",0,$F61*$D61)</f>
        <v/>
      </c>
    </row>
    <row r="62">
      <c r="A62" s="24" t="inlineStr">
        <is>
          <t>4/2</t>
        </is>
      </c>
      <c r="B62" s="24" t="inlineStr">
        <is>
          <t>FIN3209</t>
        </is>
      </c>
      <c r="C62" s="29" t="inlineStr">
        <is>
          <t>Securities Analysis</t>
        </is>
      </c>
      <c r="D62" s="24" t="n">
        <v>3</v>
      </c>
      <c r="E62" s="30" t="n"/>
      <c r="F62" s="31">
        <f>IFERROR(VLOOKUP($E62,Scale!$A$2:$B$9,2,FALSE),"")</f>
        <v/>
      </c>
      <c r="G62" s="31">
        <f>IF($E62="",0,$F62*$D62)</f>
        <v/>
      </c>
    </row>
    <row r="63">
      <c r="A63" s="24" t="inlineStr">
        <is>
          <t>4/2</t>
        </is>
      </c>
      <c r="B63" s="24" t="inlineStr">
        <is>
          <t>FIN3205</t>
        </is>
      </c>
      <c r="C63" s="29" t="inlineStr">
        <is>
          <t>Principles &amp; Policies of Investment</t>
        </is>
      </c>
      <c r="D63" s="24" t="n">
        <v>3</v>
      </c>
      <c r="E63" s="30" t="n"/>
      <c r="F63" s="31">
        <f>IFERROR(VLOOKUP($E63,Scale!$A$2:$B$9,2,FALSE),"")</f>
        <v/>
      </c>
      <c r="G63" s="31">
        <f>IF($E63="",0,$F63*$D63)</f>
        <v/>
      </c>
    </row>
    <row r="64">
      <c r="A64" s="24" t="inlineStr">
        <is>
          <t>4/2</t>
        </is>
      </c>
      <c r="B64" s="24" t="inlineStr">
        <is>
          <t>RAM1211</t>
        </is>
      </c>
      <c r="C64" s="29" t="inlineStr">
        <is>
          <t>Principles of Entrepreneurship</t>
        </is>
      </c>
      <c r="D64" s="24" t="n">
        <v>3</v>
      </c>
      <c r="E64" s="30" t="n"/>
      <c r="F64" s="31">
        <f>IFERROR(VLOOKUP($E64,Scale!$A$2:$B$9,2,FALSE),"")</f>
        <v/>
      </c>
      <c r="G64" s="31">
        <f>IF($E64="",0,$F64*$D64)</f>
        <v/>
      </c>
    </row>
    <row r="65">
      <c r="A65" s="24" t="inlineStr">
        <is>
          <t>4/2</t>
        </is>
      </c>
      <c r="B65" s="24" t="inlineStr">
        <is>
          <t>STA4101</t>
        </is>
      </c>
      <c r="C65" s="29" t="inlineStr">
        <is>
          <t>Theory of Statistics 1</t>
        </is>
      </c>
      <c r="D65" s="24" t="n">
        <v>3</v>
      </c>
      <c r="E65" s="30" t="n"/>
      <c r="F65" s="31">
        <f>IFERROR(VLOOKUP($E65,Scale!$A$2:$B$9,2,FALSE),"")</f>
        <v/>
      </c>
      <c r="G65" s="31">
        <f>IF($E65="",0,$F65*$D65)</f>
        <v/>
      </c>
    </row>
    <row r="66">
      <c r="A66" s="29" t="n"/>
      <c r="B66" s="29" t="n"/>
      <c r="C66" s="29" t="n"/>
      <c r="D66" s="29" t="n"/>
      <c r="E66" s="30" t="n"/>
      <c r="F66" s="24">
        <f>IFERROR(VLOOKUP($E66,Scale!$A$2:$B$9,2,FALSE),"")</f>
        <v/>
      </c>
      <c r="G66" s="24">
        <f>IF($E66="",0,$F66*$D66)</f>
        <v/>
      </c>
    </row>
    <row r="67">
      <c r="A67" s="29" t="n"/>
      <c r="B67" s="29" t="n"/>
      <c r="C67" s="29" t="n"/>
      <c r="D67" s="29" t="n"/>
      <c r="E67" s="30" t="n"/>
      <c r="F67" s="24">
        <f>IFERROR(VLOOKUP($E67,Scale!$A$2:$B$9,2,FALSE),"")</f>
        <v/>
      </c>
      <c r="G67" s="24">
        <f>IF($E67="",0,$F67*$D67)</f>
        <v/>
      </c>
    </row>
    <row r="68">
      <c r="A68" s="29" t="n"/>
      <c r="B68" s="29" t="n"/>
      <c r="C68" s="29" t="n"/>
      <c r="D68" s="29" t="n"/>
      <c r="E68" s="30" t="n"/>
      <c r="F68" s="24">
        <f>IFERROR(VLOOKUP($E68,Scale!$A$2:$B$9,2,FALSE),"")</f>
        <v/>
      </c>
      <c r="G68" s="24">
        <f>IF($E68="",0,$F68*$D68)</f>
        <v/>
      </c>
    </row>
    <row r="69">
      <c r="A69" s="29" t="n"/>
      <c r="B69" s="29" t="n"/>
      <c r="C69" s="29" t="n"/>
      <c r="D69" s="29" t="n"/>
      <c r="E69" s="30" t="n"/>
      <c r="F69" s="24">
        <f>IFERROR(VLOOKUP($E69,Scale!$A$2:$B$9,2,FALSE),"")</f>
        <v/>
      </c>
      <c r="G69" s="24">
        <f>IF($E69="",0,$F69*$D69)</f>
        <v/>
      </c>
    </row>
    <row r="70">
      <c r="A70" s="29" t="n"/>
      <c r="B70" s="29" t="n"/>
      <c r="C70" s="29" t="n"/>
      <c r="D70" s="29" t="n"/>
      <c r="E70" s="30" t="n"/>
      <c r="F70" s="24">
        <f>IFERROR(VLOOKUP($E70,Scale!$A$2:$B$9,2,FALSE),"")</f>
        <v/>
      </c>
      <c r="G70" s="24">
        <f>IF($E70="",0,$F70*$D70)</f>
        <v/>
      </c>
    </row>
    <row r="71">
      <c r="A71" s="6" t="n"/>
      <c r="B71" s="6" t="n"/>
      <c r="C71" s="32" t="inlineStr">
        <is>
          <t>รวม</t>
        </is>
      </c>
      <c r="D71" s="33">
        <f>SUM($D$10:$D$70)</f>
        <v/>
      </c>
      <c r="E71" s="6" t="n"/>
      <c r="F71" s="6" t="n"/>
      <c r="G71" s="34">
        <f>SUM($G$10:$G$70)</f>
        <v/>
      </c>
    </row>
  </sheetData>
  <mergeCells count="14">
    <mergeCell ref="E6:F6"/>
    <mergeCell ref="A1:G1"/>
    <mergeCell ref="C6:D6"/>
    <mergeCell ref="A7:B7"/>
    <mergeCell ref="C7:D7"/>
    <mergeCell ref="E7:F7"/>
    <mergeCell ref="A8:G8"/>
    <mergeCell ref="C5:D5"/>
    <mergeCell ref="A5:B5"/>
    <mergeCell ref="A4:G4"/>
    <mergeCell ref="E5:F5"/>
    <mergeCell ref="A2:G2"/>
    <mergeCell ref="I4:K4"/>
    <mergeCell ref="A6:B6"/>
  </mergeCells>
  <conditionalFormatting sqref="E10:E70">
    <cfRule type="cellIs" priority="1" operator="equal" dxfId="0">
      <formula>"A"</formula>
    </cfRule>
    <cfRule type="cellIs" priority="2" operator="equal" dxfId="0">
      <formula>"B+"</formula>
    </cfRule>
    <cfRule type="cellIs" priority="3" operator="equal" dxfId="1">
      <formula>"D"</formula>
    </cfRule>
    <cfRule type="cellIs" priority="4" operator="equal" dxfId="1">
      <formula>"D+"</formula>
    </cfRule>
    <cfRule type="cellIs" priority="5" operator="equal" dxfId="2">
      <formula>"F"</formula>
    </cfRule>
  </conditionalFormatting>
  <conditionalFormatting sqref="J6:J13">
    <cfRule type="colorScale" priority="6">
      <colorScale>
        <cfvo type="num" val="0"/>
        <cfvo type="num" val="2"/>
        <cfvo type="num" val="4"/>
        <color rgb="00F8696B"/>
        <color rgb="00FFEB84"/>
        <color rgb="0063BE7B"/>
      </colorScale>
    </cfRule>
  </conditionalFormatting>
  <dataValidations count="1">
    <dataValidation sqref="E10:E70" showDropDown="0" showInputMessage="0" showErrorMessage="0" allowBlank="1" type="list">
      <formula1>"A,B+,B,C+,C,D+,D,F"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34" customWidth="1" min="4" max="4"/>
    <col width="16" customWidth="1" min="5" max="5"/>
    <col width="6" customWidth="1" min="6" max="6"/>
  </cols>
  <sheetData>
    <row r="1" ht="24" customHeight="1">
      <c r="A1" s="1" t="inlineStr">
        <is>
          <t>เทียบเกณฑ์ GPAX กับการยื่น ป.โท Top-20 (QS) — โอกาส &amp; ความเสี่ยง</t>
        </is>
      </c>
    </row>
    <row r="2" ht="46" customHeight="1">
      <c r="A2" s="2" t="inlineStr">
        <is>
          <t>อ้างอิงเกณฑ์รับเข้าทั่วไป (2026): US ป.โทส่วนใหญ่ขั้นต่ำ 3.0 (70% ขอ 3.0–3.5) แข่งขัน 3.5–3.7 • elite quant ค่าเฉลี่ยที่รับ ~3.7–3.8 (MIT MFin 3.7) • UK: 2:1 ≈ GPA 3.3–3.6, First ≈ 3.7–4.0 (LSE: 3.5=2:1; Oxford strong-2:1=3.5, First=3.7) • LSE/Oxford ที่รับจริงส่วนใหญ่ได้ First</t>
        </is>
      </c>
    </row>
    <row r="4">
      <c r="A4" s="35" t="inlineStr">
        <is>
          <t>① แมปเกณฑ์เกียรตินิยมของคุณ → โอกาสยื่น Top-20 (แกน GPA)</t>
        </is>
      </c>
    </row>
    <row r="5">
      <c r="A5" s="3" t="inlineStr">
        <is>
          <t>เกียรตินิยม</t>
        </is>
      </c>
      <c r="B5" s="3" t="inlineStr">
        <is>
          <t>GPAX</t>
        </is>
      </c>
      <c r="C5" s="3" t="inlineStr">
        <is>
          <t>เทียบ UK/US</t>
        </is>
      </c>
      <c r="D5" s="3" t="inlineStr">
        <is>
          <t>โอกาส Top-20 (เชิง GPA)</t>
        </is>
      </c>
      <c r="E5" s="3" t="inlineStr">
        <is>
          <t>ความเสี่ยง</t>
        </is>
      </c>
      <c r="F5" s="36" t="n"/>
    </row>
    <row r="6" ht="28" customHeight="1">
      <c r="A6" s="23" t="inlineStr">
        <is>
          <t>เหรียญทอง</t>
        </is>
      </c>
      <c r="B6" s="24" t="inlineStr">
        <is>
          <t>≥ 3.80</t>
        </is>
      </c>
      <c r="C6" s="37" t="inlineStr">
        <is>
          <t>First (เกิน) • เกิน MIT MFin avg</t>
        </is>
      </c>
      <c r="D6" s="37" t="inlineStr">
        <is>
          <t>แข่งขันได้แทบทุกโปรแกรม Top-20</t>
        </is>
      </c>
      <c r="E6" s="10" t="inlineStr">
        <is>
          <t>🟢 ต่ำ</t>
        </is>
      </c>
      <c r="F6" s="38" t="n"/>
    </row>
    <row r="7" ht="28" customHeight="1">
      <c r="A7" s="23" t="inlineStr">
        <is>
          <t>อันดับ 1</t>
        </is>
      </c>
      <c r="B7" s="24" t="inlineStr">
        <is>
          <t>3.60–3.79</t>
        </is>
      </c>
      <c r="C7" s="37" t="inlineStr">
        <is>
          <t>First / high 2:1 • 3.7=avg MIT MFin</t>
        </is>
      </c>
      <c r="D7" s="37" t="inlineStr">
        <is>
          <t>แข่งได้ดี-กลาง (Top-5 = กลางๆ)</t>
        </is>
      </c>
      <c r="E7" s="15" t="inlineStr">
        <is>
          <t>🟡 กลาง</t>
        </is>
      </c>
      <c r="F7" s="39" t="n"/>
    </row>
    <row r="8" ht="28" customHeight="1">
      <c r="A8" s="23" t="inlineStr">
        <is>
          <t>อันดับ 2</t>
        </is>
      </c>
      <c r="B8" s="24" t="inlineStr">
        <is>
          <t>3.30–3.59</t>
        </is>
      </c>
      <c r="C8" s="37" t="inlineStr">
        <is>
          <t>2:1 (ผ่าน min LSE/Oxford/US)</t>
        </is>
      </c>
      <c r="D8" s="37" t="inlineStr">
        <is>
          <t>ผ่านขั้นต่ำ แต่ต่ำกว่าค่าเฉลี่ยที่รับ</t>
        </is>
      </c>
      <c r="E8" s="16" t="inlineStr">
        <is>
          <t>🟠 สูง (โดยเฉพาะ Top-5)</t>
        </is>
      </c>
      <c r="F8" s="40" t="n"/>
    </row>
    <row r="9" ht="28" customHeight="1">
      <c r="A9" s="23" t="inlineStr">
        <is>
          <t>(ต่ำกว่าเกณฑ์)</t>
        </is>
      </c>
      <c r="B9" s="24" t="inlineStr">
        <is>
          <t>&lt; 3.30</t>
        </is>
      </c>
      <c r="C9" s="37" t="inlineStr">
        <is>
          <t>ต่ำกว่า 2:1</t>
        </is>
      </c>
      <c r="D9" s="37" t="inlineStr">
        <is>
          <t>ต่ำกว่าขั้นต่ำหลายที่</t>
        </is>
      </c>
      <c r="E9" s="19" t="inlineStr">
        <is>
          <t>🔴 สูงมาก</t>
        </is>
      </c>
      <c r="F9" s="41" t="n"/>
    </row>
    <row r="11">
      <c r="A11" s="35" t="inlineStr">
        <is>
          <t>② ⚠️ ปัจจัยที่สำคัญกว่า GPAX (ต้องรู้!)</t>
        </is>
      </c>
    </row>
    <row r="12" ht="28" customHeight="1">
      <c r="A12" s="42" t="inlineStr">
        <is>
          <t>• ม.รามคำแหง = 'non-target / open university' → adcom อ่าน GPA ตามบริบทสถาบัน → GPAX ต้อง 'สูงกว่าค่าเฉลี่ย' เพื่อชดเชย brand discount</t>
        </is>
      </c>
    </row>
    <row r="13" ht="28" customHeight="1">
      <c r="A13" s="42" t="inlineStr">
        <is>
          <t>• ตัวชี้วัดที่ขยับผลจริง: ① GRE Quant สูง (168–170) ② เกรด A วิชาสัญญาณ (Real Analysis, Probability, Theory of Stats, Econometrics) ③ research/writing sample ④ จดหมายแนะนำแรง ⑤ ประสบการณ์/predoc/RA</t>
        </is>
      </c>
    </row>
    <row r="14" ht="28" customHeight="1">
      <c r="A14" s="42" t="inlineStr">
        <is>
          <t>• สรุป: GPAX สูง = 'จำเป็นแต่ไม่พอ' — ผ่านด่านคัดกรอง แต่ต้องมีแพ็กเกจครบจึงชนะคู่แข่งจาก target school</t>
        </is>
      </c>
    </row>
    <row r="15" ht="28" customHeight="1">
      <c r="A15" s="42" t="inlineStr">
        <is>
          <t>• เคล็ด: ถึง GPAX รวมจะโดน gen-ed ฉุด ให้รักษาเกรดวิชาสัญญาณ (สีเขียวในแผน) ให้ A ไว้ — adcom quant ดูตรงนี้ก่อน GPAX รวม</t>
        </is>
      </c>
    </row>
    <row r="17">
      <c r="A17" s="35" t="inlineStr">
        <is>
          <t>③ สรุปความเสี่ยงเชิงปฏิบัติ (เมื่อรวม brand ม.ราม)</t>
        </is>
      </c>
    </row>
    <row r="18" ht="30" customHeight="1">
      <c r="A18" s="43" t="inlineStr">
        <is>
          <t>เหรียญทอง (≥3.80): Top-20 = แข่งได้จริง (ต้องมี GRE+research+LoR ครบ) • Top-5 (MIT/Stanford/Harvard/LSE) = เอื้อมได้แต่ต้องโปรไฟล์เต็ม</t>
        </is>
      </c>
    </row>
    <row r="19" ht="30" customHeight="1">
      <c r="A19" s="44" t="inlineStr">
        <is>
          <t>อันดับ 1 (3.60–3.79): Top-20 กลาง-ล่าง = โอกาสดี • Top-5 = เสี่ยง ต้องชดเชยหนักด้วย GRE/research</t>
        </is>
      </c>
    </row>
    <row r="20" ht="30" customHeight="1">
      <c r="A20" s="45" t="inlineStr">
        <is>
          <t>อันดับ 2 (3.30–3.59): Top-20 = เสี่ยงสูง • ควรเล็ง Top-20 อันดับท้าย + โปรแกรมที่ fit + ชดเชยด้วย GRE/research มาก หรือไต่ผ่าน predoc/ทำงานก่อน</t>
        </is>
      </c>
    </row>
    <row r="22" ht="30" customHeight="1">
      <c r="A22" s="2" t="inlineStr">
        <is>
          <t>แหล่งอ้างอิง: research.com (Finance/Econ Master's 2026) • LSE MSc Finance &amp; Economics • Oxford International Qualifications • QuantNet/MIT MFin • เกณฑ์เปลี่ยนได้ ตรวจหน้าโปรแกรมจริงก่อนสมัคร</t>
        </is>
      </c>
    </row>
  </sheetData>
  <mergeCells count="18">
    <mergeCell ref="A2:F2"/>
    <mergeCell ref="A11:F11"/>
    <mergeCell ref="E6:F6"/>
    <mergeCell ref="A13:F13"/>
    <mergeCell ref="E7:F7"/>
    <mergeCell ref="A14:F14"/>
    <mergeCell ref="A19:F19"/>
    <mergeCell ref="A1:F1"/>
    <mergeCell ref="A15:F15"/>
    <mergeCell ref="E5:F5"/>
    <mergeCell ref="A22:F22"/>
    <mergeCell ref="A17:F17"/>
    <mergeCell ref="A12:F12"/>
    <mergeCell ref="A4:F4"/>
    <mergeCell ref="A18:F18"/>
    <mergeCell ref="A20:F20"/>
    <mergeCell ref="E9:F9"/>
    <mergeCell ref="E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เกรด</t>
        </is>
      </c>
      <c r="B1" t="inlineStr">
        <is>
          <t>แต้ม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B+</t>
        </is>
      </c>
      <c r="B3" t="n">
        <v>3.5</v>
      </c>
    </row>
    <row r="4">
      <c r="A4" t="inlineStr">
        <is>
          <t>B</t>
        </is>
      </c>
      <c r="B4" t="n">
        <v>3</v>
      </c>
    </row>
    <row r="5">
      <c r="A5" t="inlineStr">
        <is>
          <t>C+</t>
        </is>
      </c>
      <c r="B5" t="n">
        <v>2.5</v>
      </c>
    </row>
    <row r="6">
      <c r="A6" t="inlineStr">
        <is>
          <t>C</t>
        </is>
      </c>
      <c r="B6" t="n">
        <v>2</v>
      </c>
    </row>
    <row r="7">
      <c r="A7" t="inlineStr">
        <is>
          <t>D+</t>
        </is>
      </c>
      <c r="B7" t="n">
        <v>1.5</v>
      </c>
    </row>
    <row r="8">
      <c r="A8" t="inlineStr">
        <is>
          <t>D</t>
        </is>
      </c>
      <c r="B8" t="n">
        <v>1</v>
      </c>
    </row>
    <row r="9">
      <c r="A9" t="inlineStr">
        <is>
          <t>F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2026-06-30T08:26:33Z</dcterms:created>
  <dcterms:modified xsi:type="dcterms:W3CDTF">2026-06-30T08:26:34Z</dcterms:modified>
</cp:coreProperties>
</file>